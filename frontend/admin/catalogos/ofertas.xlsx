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6849eccd918aff0b/Documentos/neumaticos/"/>
    </mc:Choice>
  </mc:AlternateContent>
  <xr:revisionPtr revIDLastSave="0" documentId="8_{73ACD6C4-AFFA-4AC8-BDFA-A751338857E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odos los productos" sheetId="1" r:id="rId1"/>
    <sheet name="SUNNY" sheetId="2" r:id="rId2"/>
    <sheet name="GT RADIAL" sheetId="3" r:id="rId3"/>
    <sheet name="CHAMPIRO-FE" sheetId="4" r:id="rId4"/>
    <sheet name="GITI" sheetId="5" r:id="rId5"/>
    <sheet name="WANLI" sheetId="6" r:id="rId6"/>
    <sheet name="MAXMILER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7" l="1"/>
  <c r="F5" i="7"/>
  <c r="F4" i="7"/>
  <c r="F3" i="7"/>
  <c r="F2" i="7"/>
  <c r="F6" i="7" s="1"/>
  <c r="F26" i="6"/>
  <c r="D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D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17" i="5" s="1"/>
  <c r="D15" i="4"/>
  <c r="F14" i="4"/>
  <c r="F13" i="4"/>
  <c r="F12" i="4"/>
  <c r="F11" i="4"/>
  <c r="F10" i="4"/>
  <c r="F9" i="4"/>
  <c r="F8" i="4"/>
  <c r="F7" i="4"/>
  <c r="F6" i="4"/>
  <c r="F5" i="4"/>
  <c r="F4" i="4"/>
  <c r="F3" i="4"/>
  <c r="F15" i="4" s="1"/>
  <c r="F2" i="4"/>
  <c r="D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9" i="3" s="1"/>
  <c r="D10" i="2"/>
  <c r="F9" i="2"/>
  <c r="F8" i="2"/>
  <c r="F7" i="2"/>
  <c r="F6" i="2"/>
  <c r="F5" i="2"/>
  <c r="F4" i="2"/>
  <c r="F3" i="2"/>
  <c r="F2" i="2"/>
  <c r="F10" i="2" s="1"/>
  <c r="D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93" i="1" s="1"/>
</calcChain>
</file>

<file path=xl/sharedStrings.xml><?xml version="1.0" encoding="utf-8"?>
<sst xmlns="http://schemas.openxmlformats.org/spreadsheetml/2006/main" count="595" uniqueCount="196">
  <si>
    <t>CÓDIGO</t>
  </si>
  <si>
    <t>DESCRIPCIÓN</t>
  </si>
  <si>
    <t>MARCA</t>
  </si>
  <si>
    <t>PRECIO LISTA (30 días)</t>
  </si>
  <si>
    <t>GANANCIA %</t>
  </si>
  <si>
    <t>CONTADO</t>
  </si>
  <si>
    <t>18020370</t>
  </si>
  <si>
    <t>NP226 165/70R13 79T</t>
  </si>
  <si>
    <t>SUNNY</t>
  </si>
  <si>
    <t>18020470</t>
  </si>
  <si>
    <t>NP226 175/70R13 82T</t>
  </si>
  <si>
    <t>18030460</t>
  </si>
  <si>
    <t>NP226 175/65R14 82T</t>
  </si>
  <si>
    <t>18030470</t>
  </si>
  <si>
    <t>NP226 175/70R14 84T</t>
  </si>
  <si>
    <t>18030552</t>
  </si>
  <si>
    <t>NP226 185/60R14 82H</t>
  </si>
  <si>
    <t>18030562</t>
  </si>
  <si>
    <t>NP226 185/65R14 86H</t>
  </si>
  <si>
    <t>18040764</t>
  </si>
  <si>
    <t>NP226 205/65R15 94V</t>
  </si>
  <si>
    <t>18050752</t>
  </si>
  <si>
    <t>NP226 205/60R16 92H</t>
  </si>
  <si>
    <t>21150726</t>
  </si>
  <si>
    <t>SPORTACTIVE 2 205/45R16 87W</t>
  </si>
  <si>
    <t>GT RADIAL</t>
  </si>
  <si>
    <t>22061366</t>
  </si>
  <si>
    <t>SAVERO HT2 OWL 265/65R17 110T</t>
  </si>
  <si>
    <t>22242684</t>
  </si>
  <si>
    <t>ADVTURO AT3 LT31X10.5R15 109S</t>
  </si>
  <si>
    <t>22250984</t>
  </si>
  <si>
    <t>ADVTURO AT3 LT225/75R16 112S</t>
  </si>
  <si>
    <t>22251094</t>
  </si>
  <si>
    <t>ADVTURO AT3 LT235/85R16 116S</t>
  </si>
  <si>
    <t>22251384</t>
  </si>
  <si>
    <t>ADVTURO AT3 LT265/75R16 109S</t>
  </si>
  <si>
    <t>22251582</t>
  </si>
  <si>
    <t>ADVTURO AT3 LT285/75R16 123R</t>
  </si>
  <si>
    <t>22261376</t>
  </si>
  <si>
    <t>ADVTURO AT3 265/70R17 113T</t>
  </si>
  <si>
    <t>22261472</t>
  </si>
  <si>
    <t>ADVTURO AT3 LT275/70R17 110R</t>
  </si>
  <si>
    <t>22291336</t>
  </si>
  <si>
    <t>ADVTURO AT3 265/50R20 111T</t>
  </si>
  <si>
    <t>22541084</t>
  </si>
  <si>
    <t>ADVTURO M/T LT235/75R15 101S</t>
  </si>
  <si>
    <t>22551795</t>
  </si>
  <si>
    <t>ADVTURO M/T 305/70R16 118/115Q</t>
  </si>
  <si>
    <t>22681249</t>
  </si>
  <si>
    <t>SPACTIVE 2 SUV 255/55R19 111Y</t>
  </si>
  <si>
    <t>23060926</t>
  </si>
  <si>
    <t>GTR3 SEMISLICK 225/45R17 94W</t>
  </si>
  <si>
    <t>23070916</t>
  </si>
  <si>
    <t>GTR3 SEMISLICK 225/40R18 92W</t>
  </si>
  <si>
    <t>23071206</t>
  </si>
  <si>
    <t>GTR3 SEMISLICK 255/35R18 94W</t>
  </si>
  <si>
    <t>23071366</t>
  </si>
  <si>
    <t>GTR3 SEMISLICK 265/35R18 97W</t>
  </si>
  <si>
    <t>23081308</t>
  </si>
  <si>
    <t>GTR3 SEMISLICK 265/35R19 98Y</t>
  </si>
  <si>
    <t>23081708</t>
  </si>
  <si>
    <t>GTR3 SEMISLICK 305/30R19 102Y</t>
  </si>
  <si>
    <t>24050852</t>
  </si>
  <si>
    <t>GITICOMFORT T20 215/60R16 95H</t>
  </si>
  <si>
    <t>24240634</t>
  </si>
  <si>
    <t>GITICOMFORT 228 195/50R15 82V</t>
  </si>
  <si>
    <t>24550444</t>
  </si>
  <si>
    <t>GITICOMFORT F26 175/55R16 80V</t>
  </si>
  <si>
    <t>24550654</t>
  </si>
  <si>
    <t>GITICOMFORT F22 195/60R16 89V</t>
  </si>
  <si>
    <t>24550844</t>
  </si>
  <si>
    <t>GITICOMFORT F22 215/55R16 93V</t>
  </si>
  <si>
    <t>24681108</t>
  </si>
  <si>
    <t>GITICONTROL P10 245/35R19 93Y</t>
  </si>
  <si>
    <t>24681218</t>
  </si>
  <si>
    <t>GITICONTROL P10 255/40R19 100Y</t>
  </si>
  <si>
    <t>24691246</t>
  </si>
  <si>
    <t>GITICONTROL P10 255/55R20 110W</t>
  </si>
  <si>
    <t>20120370</t>
  </si>
  <si>
    <t>CHAMPIRO VP1 165/70R13 79T</t>
  </si>
  <si>
    <t>CHAMPIRO-FE</t>
  </si>
  <si>
    <t>20120470</t>
  </si>
  <si>
    <t>CHAMPIRO VP1 175/70R13 82T</t>
  </si>
  <si>
    <t>20130460</t>
  </si>
  <si>
    <t>CHAMPIRO VP1 175/65R14 82T</t>
  </si>
  <si>
    <t>20130470</t>
  </si>
  <si>
    <t>CHAMPIRO VP1 175/70R14 88T</t>
  </si>
  <si>
    <t>20130562</t>
  </si>
  <si>
    <t>CHAMPIRO VP1 185/65R14 86H</t>
  </si>
  <si>
    <t>20140462</t>
  </si>
  <si>
    <t>CHAMPIRO VP1 175/65R15 84H</t>
  </si>
  <si>
    <t>20150744</t>
  </si>
  <si>
    <t>CHAMPIRO VP1 205/55R16 91V</t>
  </si>
  <si>
    <t>20150758</t>
  </si>
  <si>
    <t>CHAMPIRO VP1 205/60R16 92H</t>
  </si>
  <si>
    <t>20320390</t>
  </si>
  <si>
    <t>FE1 CITY 165/80R13 83T</t>
  </si>
  <si>
    <t>20540562</t>
  </si>
  <si>
    <t>FE2 185/65R15 88H</t>
  </si>
  <si>
    <t>20540662</t>
  </si>
  <si>
    <t>FE2 195/65R15 91H</t>
  </si>
  <si>
    <t>20560746</t>
  </si>
  <si>
    <t>FE2 205/55R17 95W</t>
  </si>
  <si>
    <t>21160716</t>
  </si>
  <si>
    <t>SPORTACTIVE 2 205/40R17 84W</t>
  </si>
  <si>
    <t>25042684</t>
  </si>
  <si>
    <t>GITI4X4 AT70 LT31x10.50R15 109</t>
  </si>
  <si>
    <t>GITI</t>
  </si>
  <si>
    <t>25051184</t>
  </si>
  <si>
    <t>GITI4X4 AT70 LT245/75R16 116</t>
  </si>
  <si>
    <t>25071556</t>
  </si>
  <si>
    <t>GITI4X4 AT70 285/60R18 116T</t>
  </si>
  <si>
    <t>25150868</t>
  </si>
  <si>
    <t>GITI4X4 HT152 215/65R16 98H</t>
  </si>
  <si>
    <t>25161368</t>
  </si>
  <si>
    <t>GITI4X4 HT152 265/65R17 112H</t>
  </si>
  <si>
    <t>25171158</t>
  </si>
  <si>
    <t>GITI4X4 HT152 245/60R18 105H</t>
  </si>
  <si>
    <t>25171352</t>
  </si>
  <si>
    <t>GITI4X4 HT152 265/60R18 110H</t>
  </si>
  <si>
    <t>25191458</t>
  </si>
  <si>
    <t>GITI4X4 HT152 275/60R20 115H</t>
  </si>
  <si>
    <t>25650862</t>
  </si>
  <si>
    <t>GITICOMFORT F50 215/65R16 98H</t>
  </si>
  <si>
    <t>25871246</t>
  </si>
  <si>
    <t>GITICONTROL P80 255/55R18 109W</t>
  </si>
  <si>
    <t>25891328</t>
  </si>
  <si>
    <t>GITICONTROL P80 265/45R20 104Y</t>
  </si>
  <si>
    <t>25891608</t>
  </si>
  <si>
    <t>GITICONTROL P80 295/35R21 107Y</t>
  </si>
  <si>
    <t>25960968</t>
  </si>
  <si>
    <t>GITIXROSS HT71 225/65R17 106H</t>
  </si>
  <si>
    <t>26361375</t>
  </si>
  <si>
    <t>GITIXCURSION XT71 LT265/70R17</t>
  </si>
  <si>
    <t>26450868</t>
  </si>
  <si>
    <t>GITIPRMUM SUVPX1 215/65R16 98H</t>
  </si>
  <si>
    <t>10020370</t>
  </si>
  <si>
    <t>SP026 165/70R13 79T</t>
  </si>
  <si>
    <t>WANLI</t>
  </si>
  <si>
    <t>10020470</t>
  </si>
  <si>
    <t>SP026 175/70R13 82T</t>
  </si>
  <si>
    <t>10030460</t>
  </si>
  <si>
    <t>SP026 175/65R14 86T</t>
  </si>
  <si>
    <t>10030562</t>
  </si>
  <si>
    <t>SP026 185/65R14 86H</t>
  </si>
  <si>
    <t>10040562</t>
  </si>
  <si>
    <t>SP026 185/65R15 88H</t>
  </si>
  <si>
    <t>10040644</t>
  </si>
  <si>
    <t>SP026 195/55R15 85V</t>
  </si>
  <si>
    <t>10360844</t>
  </si>
  <si>
    <t>SP022+ 215/55R17 98V</t>
  </si>
  <si>
    <t>11050644</t>
  </si>
  <si>
    <t>SA302 195/55R16 87V</t>
  </si>
  <si>
    <t>11050744</t>
  </si>
  <si>
    <t>SA302 205/55R16 91V</t>
  </si>
  <si>
    <t>11070916</t>
  </si>
  <si>
    <t>SA302 225/40R18 92W</t>
  </si>
  <si>
    <t>11080916</t>
  </si>
  <si>
    <t>SA302 225/40R19 93W</t>
  </si>
  <si>
    <t>11081216</t>
  </si>
  <si>
    <t>SA302 255/40R19 100XL</t>
  </si>
  <si>
    <t>11081236</t>
  </si>
  <si>
    <t>SA302 255/50R19 107W</t>
  </si>
  <si>
    <t>11081524</t>
  </si>
  <si>
    <t>SA302 285/45R19 107V</t>
  </si>
  <si>
    <t>11091426</t>
  </si>
  <si>
    <t>SA302 275/45R20 110W</t>
  </si>
  <si>
    <t>11091806</t>
  </si>
  <si>
    <t>SA302 315/35R20 110W</t>
  </si>
  <si>
    <t>11242685</t>
  </si>
  <si>
    <t>SU006 31X10.50R15 109Q</t>
  </si>
  <si>
    <t>11251374</t>
  </si>
  <si>
    <t>SU006 265/70R16 112S</t>
  </si>
  <si>
    <t>11291538</t>
  </si>
  <si>
    <t>SU006 285/50R20 116H</t>
  </si>
  <si>
    <t>12030692</t>
  </si>
  <si>
    <t>SL106 195R14C 106/104R</t>
  </si>
  <si>
    <t>12040692</t>
  </si>
  <si>
    <t>SL106 195/70R15C 104R</t>
  </si>
  <si>
    <t>12040694</t>
  </si>
  <si>
    <t>SL106 195R15 106/104S</t>
  </si>
  <si>
    <t>12040972</t>
  </si>
  <si>
    <t>SL106 225/70R15 106/103R</t>
  </si>
  <si>
    <t>12050782</t>
  </si>
  <si>
    <t>SL106 205/75R16C 113R</t>
  </si>
  <si>
    <t>23040672</t>
  </si>
  <si>
    <t>PR 195/70R15C 102R</t>
  </si>
  <si>
    <t>MAXMILER</t>
  </si>
  <si>
    <t>23040866</t>
  </si>
  <si>
    <t>PR 215/65R15C 102T</t>
  </si>
  <si>
    <t>23050858</t>
  </si>
  <si>
    <t>PR 215/60R16C 101H</t>
  </si>
  <si>
    <t>23050876</t>
  </si>
  <si>
    <t>PR 215/70R16C 106T</t>
  </si>
  <si>
    <t>TOTAL PRODUCTOS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</si>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</sst>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 &quot;#,##0.00"/>
    <numFmt numFmtId="165" formatCode="0\%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FF3CD"/>
        <bgColor rgb="FFFFE5D9"/>
      </patternFill>
    </fill>
    <fill>
      <patternFill patternType="solid">
        <fgColor rgb="FFCCE5FF"/>
        <bgColor rgb="FFD4EDDA"/>
      </patternFill>
    </fill>
    <fill>
      <patternFill patternType="solid">
        <fgColor rgb="FFD4EDDA"/>
        <bgColor rgb="FFE8E8E4"/>
      </patternFill>
    </fill>
    <fill>
      <patternFill patternType="solid">
        <fgColor rgb="FFE8E5FD"/>
        <bgColor rgb="FFE8E8E4"/>
      </patternFill>
    </fill>
    <fill>
      <patternFill patternType="solid">
        <fgColor rgb="FFFFE5D9"/>
        <bgColor rgb="FFFFF3CD"/>
      </patternFill>
    </fill>
    <fill>
      <patternFill patternType="solid">
        <fgColor rgb="FFE8E8E4"/>
        <bgColor rgb="FFE8E5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164" fontId="2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/>
    <xf numFmtId="164" fontId="2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/>
    <xf numFmtId="164" fontId="2" fillId="5" borderId="1" xfId="0" applyNumberFormat="1" applyFont="1" applyFill="1" applyBorder="1" applyAlignment="1">
      <alignment horizontal="right"/>
    </xf>
    <xf numFmtId="165" fontId="3" fillId="5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/>
    <xf numFmtId="164" fontId="2" fillId="6" borderId="1" xfId="0" applyNumberFormat="1" applyFont="1" applyFill="1" applyBorder="1" applyAlignment="1">
      <alignment horizontal="right"/>
    </xf>
    <xf numFmtId="165" fontId="3" fillId="6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/>
    <xf numFmtId="164" fontId="2" fillId="7" borderId="1" xfId="0" applyNumberFormat="1" applyFont="1" applyFill="1" applyBorder="1" applyAlignment="1">
      <alignment horizontal="right"/>
    </xf>
    <xf numFmtId="165" fontId="3" fillId="7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/>
    <xf numFmtId="164" fontId="2" fillId="8" borderId="1" xfId="0" applyNumberFormat="1" applyFont="1" applyFill="1" applyBorder="1" applyAlignment="1">
      <alignment horizontal="right"/>
    </xf>
    <xf numFmtId="165" fontId="3" fillId="8" borderId="1" xfId="0" applyNumberFormat="1" applyFont="1" applyFill="1" applyBorder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0" fillId="0" borderId="1" xfId="0" applyBorder="1"/>
    <xf numFmtId="164" fontId="4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8E8E4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5FD"/>
      <rgbColor rgb="FFD4EDDA"/>
      <rgbColor rgb="FFFFFF99"/>
      <rgbColor rgb="FF99CCFF"/>
      <rgbColor rgb="FFFF99CC"/>
      <rgbColor rgb="FFCC99FF"/>
      <rgbColor rgb="FFFFE5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topLeftCell="A9" zoomScaleNormal="100" workbookViewId="0">
      <selection activeCell="J31" sqref="J31"/>
    </sheetView>
  </sheetViews>
  <sheetFormatPr baseColWidth="10" defaultColWidth="8.7109375" defaultRowHeight="15" x14ac:dyDescent="0.25"/>
  <cols>
    <col min="1" max="1" width="14" style="1" customWidth="1"/>
    <col min="2" max="2" width="42" style="1" customWidth="1"/>
    <col min="3" max="3" width="14" style="1" customWidth="1"/>
    <col min="4" max="4" width="22" style="1" hidden="1" customWidth="1"/>
    <col min="5" max="5" width="14" hidden="1" customWidth="1"/>
    <col min="6" max="6" width="22" customWidth="1"/>
  </cols>
  <sheetData>
    <row r="1" spans="1:6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25">
      <c r="A2" s="3" t="s">
        <v>6</v>
      </c>
      <c r="B2" s="4" t="s">
        <v>7</v>
      </c>
      <c r="C2" s="3" t="s">
        <v>8</v>
      </c>
      <c r="D2" s="5">
        <v>56617.49</v>
      </c>
      <c r="E2" s="6">
        <v>30</v>
      </c>
      <c r="F2" s="5">
        <f t="shared" ref="F2:F33" si="0">D2*(1+E2/100)</f>
        <v>73602.736999999994</v>
      </c>
    </row>
    <row r="3" spans="1:6" ht="15" customHeight="1" x14ac:dyDescent="0.25">
      <c r="A3" s="3" t="s">
        <v>9</v>
      </c>
      <c r="B3" s="4" t="s">
        <v>10</v>
      </c>
      <c r="C3" s="3" t="s">
        <v>8</v>
      </c>
      <c r="D3" s="5">
        <v>56927.29</v>
      </c>
      <c r="E3" s="6">
        <v>30</v>
      </c>
      <c r="F3" s="5">
        <f t="shared" si="0"/>
        <v>74005.476999999999</v>
      </c>
    </row>
    <row r="4" spans="1:6" ht="15" customHeight="1" x14ac:dyDescent="0.25">
      <c r="A4" s="3" t="s">
        <v>11</v>
      </c>
      <c r="B4" s="4" t="s">
        <v>12</v>
      </c>
      <c r="C4" s="3" t="s">
        <v>8</v>
      </c>
      <c r="D4" s="5">
        <v>58515.06</v>
      </c>
      <c r="E4" s="6">
        <v>30</v>
      </c>
      <c r="F4" s="5">
        <f t="shared" si="0"/>
        <v>76069.577999999994</v>
      </c>
    </row>
    <row r="5" spans="1:6" ht="15" customHeight="1" x14ac:dyDescent="0.25">
      <c r="A5" s="3" t="s">
        <v>13</v>
      </c>
      <c r="B5" s="4" t="s">
        <v>14</v>
      </c>
      <c r="C5" s="3" t="s">
        <v>8</v>
      </c>
      <c r="D5" s="5">
        <v>62000</v>
      </c>
      <c r="E5" s="6">
        <v>30</v>
      </c>
      <c r="F5" s="5">
        <f t="shared" si="0"/>
        <v>80600</v>
      </c>
    </row>
    <row r="6" spans="1:6" ht="15" customHeight="1" x14ac:dyDescent="0.25">
      <c r="A6" s="3" t="s">
        <v>15</v>
      </c>
      <c r="B6" s="4" t="s">
        <v>16</v>
      </c>
      <c r="C6" s="3" t="s">
        <v>8</v>
      </c>
      <c r="D6" s="5">
        <v>63000</v>
      </c>
      <c r="E6" s="6">
        <v>30</v>
      </c>
      <c r="F6" s="5">
        <f t="shared" si="0"/>
        <v>81900</v>
      </c>
    </row>
    <row r="7" spans="1:6" ht="15" customHeight="1" x14ac:dyDescent="0.25">
      <c r="A7" s="3" t="s">
        <v>17</v>
      </c>
      <c r="B7" s="4" t="s">
        <v>18</v>
      </c>
      <c r="C7" s="3" t="s">
        <v>8</v>
      </c>
      <c r="D7" s="5">
        <v>63000</v>
      </c>
      <c r="E7" s="6">
        <v>30</v>
      </c>
      <c r="F7" s="5">
        <f t="shared" si="0"/>
        <v>81900</v>
      </c>
    </row>
    <row r="8" spans="1:6" ht="15" customHeight="1" x14ac:dyDescent="0.25">
      <c r="A8" s="3" t="s">
        <v>19</v>
      </c>
      <c r="B8" s="4" t="s">
        <v>20</v>
      </c>
      <c r="C8" s="3" t="s">
        <v>8</v>
      </c>
      <c r="D8" s="5">
        <v>85000</v>
      </c>
      <c r="E8" s="6">
        <v>30</v>
      </c>
      <c r="F8" s="5">
        <f t="shared" si="0"/>
        <v>110500</v>
      </c>
    </row>
    <row r="9" spans="1:6" ht="15" customHeight="1" x14ac:dyDescent="0.25">
      <c r="A9" s="3" t="s">
        <v>21</v>
      </c>
      <c r="B9" s="4" t="s">
        <v>22</v>
      </c>
      <c r="C9" s="3" t="s">
        <v>8</v>
      </c>
      <c r="D9" s="5">
        <v>88798.83</v>
      </c>
      <c r="E9" s="6">
        <v>30</v>
      </c>
      <c r="F9" s="5">
        <f t="shared" si="0"/>
        <v>115438.47900000001</v>
      </c>
    </row>
    <row r="10" spans="1:6" ht="15" customHeight="1" x14ac:dyDescent="0.25">
      <c r="A10" s="7" t="s">
        <v>23</v>
      </c>
      <c r="B10" s="8" t="s">
        <v>24</v>
      </c>
      <c r="C10" s="7" t="s">
        <v>25</v>
      </c>
      <c r="D10" s="9">
        <v>116318.32</v>
      </c>
      <c r="E10" s="10">
        <v>30</v>
      </c>
      <c r="F10" s="9">
        <f t="shared" si="0"/>
        <v>151213.81600000002</v>
      </c>
    </row>
    <row r="11" spans="1:6" ht="15" customHeight="1" x14ac:dyDescent="0.25">
      <c r="A11" s="7" t="s">
        <v>26</v>
      </c>
      <c r="B11" s="8" t="s">
        <v>27</v>
      </c>
      <c r="C11" s="7" t="s">
        <v>25</v>
      </c>
      <c r="D11" s="9">
        <v>160000</v>
      </c>
      <c r="E11" s="10">
        <v>30</v>
      </c>
      <c r="F11" s="9">
        <f t="shared" si="0"/>
        <v>208000</v>
      </c>
    </row>
    <row r="12" spans="1:6" ht="15" customHeight="1" x14ac:dyDescent="0.25">
      <c r="A12" s="7" t="s">
        <v>28</v>
      </c>
      <c r="B12" s="8" t="s">
        <v>29</v>
      </c>
      <c r="C12" s="7" t="s">
        <v>25</v>
      </c>
      <c r="D12" s="9">
        <v>220000</v>
      </c>
      <c r="E12" s="10">
        <v>30</v>
      </c>
      <c r="F12" s="9">
        <f t="shared" si="0"/>
        <v>286000</v>
      </c>
    </row>
    <row r="13" spans="1:6" ht="15" customHeight="1" x14ac:dyDescent="0.25">
      <c r="A13" s="7" t="s">
        <v>30</v>
      </c>
      <c r="B13" s="8" t="s">
        <v>31</v>
      </c>
      <c r="C13" s="7" t="s">
        <v>25</v>
      </c>
      <c r="D13" s="9">
        <v>202097.4</v>
      </c>
      <c r="E13" s="10">
        <v>30</v>
      </c>
      <c r="F13" s="9">
        <f t="shared" si="0"/>
        <v>262726.62</v>
      </c>
    </row>
    <row r="14" spans="1:6" ht="15" customHeight="1" x14ac:dyDescent="0.25">
      <c r="A14" s="7" t="s">
        <v>32</v>
      </c>
      <c r="B14" s="8" t="s">
        <v>33</v>
      </c>
      <c r="C14" s="7" t="s">
        <v>25</v>
      </c>
      <c r="D14" s="9">
        <v>240000</v>
      </c>
      <c r="E14" s="10">
        <v>30</v>
      </c>
      <c r="F14" s="9">
        <f t="shared" si="0"/>
        <v>312000</v>
      </c>
    </row>
    <row r="15" spans="1:6" ht="15" customHeight="1" x14ac:dyDescent="0.25">
      <c r="A15" s="7" t="s">
        <v>34</v>
      </c>
      <c r="B15" s="8" t="s">
        <v>35</v>
      </c>
      <c r="C15" s="7" t="s">
        <v>25</v>
      </c>
      <c r="D15" s="9">
        <v>217626.21</v>
      </c>
      <c r="E15" s="10">
        <v>30</v>
      </c>
      <c r="F15" s="9">
        <f t="shared" si="0"/>
        <v>282914.07299999997</v>
      </c>
    </row>
    <row r="16" spans="1:6" ht="15" customHeight="1" x14ac:dyDescent="0.25">
      <c r="A16" s="7" t="s">
        <v>36</v>
      </c>
      <c r="B16" s="8" t="s">
        <v>37</v>
      </c>
      <c r="C16" s="7" t="s">
        <v>25</v>
      </c>
      <c r="D16" s="9">
        <v>273165.84999999998</v>
      </c>
      <c r="E16" s="10">
        <v>30</v>
      </c>
      <c r="F16" s="9">
        <f t="shared" si="0"/>
        <v>355115.60499999998</v>
      </c>
    </row>
    <row r="17" spans="1:6" ht="15" customHeight="1" x14ac:dyDescent="0.25">
      <c r="A17" s="7" t="s">
        <v>38</v>
      </c>
      <c r="B17" s="8" t="s">
        <v>39</v>
      </c>
      <c r="C17" s="7" t="s">
        <v>25</v>
      </c>
      <c r="D17" s="9">
        <v>198976.78</v>
      </c>
      <c r="E17" s="10">
        <v>30</v>
      </c>
      <c r="F17" s="9">
        <f t="shared" si="0"/>
        <v>258669.81400000001</v>
      </c>
    </row>
    <row r="18" spans="1:6" ht="15" customHeight="1" x14ac:dyDescent="0.25">
      <c r="A18" s="7" t="s">
        <v>40</v>
      </c>
      <c r="B18" s="8" t="s">
        <v>41</v>
      </c>
      <c r="C18" s="7" t="s">
        <v>25</v>
      </c>
      <c r="D18" s="9">
        <v>250000</v>
      </c>
      <c r="E18" s="10">
        <v>30</v>
      </c>
      <c r="F18" s="9">
        <f t="shared" si="0"/>
        <v>325000</v>
      </c>
    </row>
    <row r="19" spans="1:6" ht="15" customHeight="1" x14ac:dyDescent="0.25">
      <c r="A19" s="7" t="s">
        <v>42</v>
      </c>
      <c r="B19" s="8" t="s">
        <v>43</v>
      </c>
      <c r="C19" s="7" t="s">
        <v>25</v>
      </c>
      <c r="D19" s="9">
        <v>182617.33</v>
      </c>
      <c r="E19" s="10">
        <v>30</v>
      </c>
      <c r="F19" s="9">
        <f t="shared" si="0"/>
        <v>237402.52899999998</v>
      </c>
    </row>
    <row r="20" spans="1:6" ht="15" customHeight="1" x14ac:dyDescent="0.25">
      <c r="A20" s="7" t="s">
        <v>44</v>
      </c>
      <c r="B20" s="8" t="s">
        <v>45</v>
      </c>
      <c r="C20" s="7" t="s">
        <v>25</v>
      </c>
      <c r="D20" s="9">
        <v>181813.36</v>
      </c>
      <c r="E20" s="10">
        <v>30</v>
      </c>
      <c r="F20" s="9">
        <f t="shared" si="0"/>
        <v>236357.36799999999</v>
      </c>
    </row>
    <row r="21" spans="1:6" ht="15" customHeight="1" x14ac:dyDescent="0.25">
      <c r="A21" s="7" t="s">
        <v>46</v>
      </c>
      <c r="B21" s="8" t="s">
        <v>47</v>
      </c>
      <c r="C21" s="7" t="s">
        <v>25</v>
      </c>
      <c r="D21" s="9">
        <v>280000</v>
      </c>
      <c r="E21" s="10">
        <v>30</v>
      </c>
      <c r="F21" s="9">
        <f t="shared" si="0"/>
        <v>364000</v>
      </c>
    </row>
    <row r="22" spans="1:6" ht="15" customHeight="1" x14ac:dyDescent="0.25">
      <c r="A22" s="7" t="s">
        <v>48</v>
      </c>
      <c r="B22" s="8" t="s">
        <v>49</v>
      </c>
      <c r="C22" s="7" t="s">
        <v>25</v>
      </c>
      <c r="D22" s="9">
        <v>245823.26</v>
      </c>
      <c r="E22" s="10">
        <v>30</v>
      </c>
      <c r="F22" s="9">
        <f t="shared" si="0"/>
        <v>319570.23800000001</v>
      </c>
    </row>
    <row r="23" spans="1:6" ht="15" customHeight="1" x14ac:dyDescent="0.25">
      <c r="A23" s="7" t="s">
        <v>50</v>
      </c>
      <c r="B23" s="8" t="s">
        <v>51</v>
      </c>
      <c r="C23" s="7" t="s">
        <v>107</v>
      </c>
      <c r="D23" s="9">
        <v>260000</v>
      </c>
      <c r="E23" s="10">
        <v>30</v>
      </c>
      <c r="F23" s="9">
        <f t="shared" si="0"/>
        <v>338000</v>
      </c>
    </row>
    <row r="24" spans="1:6" ht="15" customHeight="1" x14ac:dyDescent="0.25">
      <c r="A24" s="7" t="s">
        <v>52</v>
      </c>
      <c r="B24" s="8" t="s">
        <v>53</v>
      </c>
      <c r="C24" s="7" t="s">
        <v>107</v>
      </c>
      <c r="D24" s="9">
        <v>300000</v>
      </c>
      <c r="E24" s="10">
        <v>30</v>
      </c>
      <c r="F24" s="9">
        <f t="shared" si="0"/>
        <v>390000</v>
      </c>
    </row>
    <row r="25" spans="1:6" ht="15" customHeight="1" x14ac:dyDescent="0.25">
      <c r="A25" s="7" t="s">
        <v>54</v>
      </c>
      <c r="B25" s="8" t="s">
        <v>55</v>
      </c>
      <c r="C25" s="7" t="s">
        <v>107</v>
      </c>
      <c r="D25" s="9">
        <v>320000</v>
      </c>
      <c r="E25" s="10">
        <v>30</v>
      </c>
      <c r="F25" s="9">
        <f t="shared" si="0"/>
        <v>416000</v>
      </c>
    </row>
    <row r="26" spans="1:6" ht="15" customHeight="1" x14ac:dyDescent="0.25">
      <c r="A26" s="7" t="s">
        <v>56</v>
      </c>
      <c r="B26" s="8" t="s">
        <v>57</v>
      </c>
      <c r="C26" s="7" t="s">
        <v>107</v>
      </c>
      <c r="D26" s="9">
        <v>380000</v>
      </c>
      <c r="E26" s="10">
        <v>30</v>
      </c>
      <c r="F26" s="9">
        <f t="shared" si="0"/>
        <v>494000</v>
      </c>
    </row>
    <row r="27" spans="1:6" ht="15" customHeight="1" x14ac:dyDescent="0.25">
      <c r="A27" s="7" t="s">
        <v>58</v>
      </c>
      <c r="B27" s="8" t="s">
        <v>59</v>
      </c>
      <c r="C27" s="7" t="s">
        <v>107</v>
      </c>
      <c r="D27" s="9">
        <v>400000</v>
      </c>
      <c r="E27" s="10">
        <v>30</v>
      </c>
      <c r="F27" s="9">
        <f t="shared" si="0"/>
        <v>520000</v>
      </c>
    </row>
    <row r="28" spans="1:6" ht="15" customHeight="1" x14ac:dyDescent="0.25">
      <c r="A28" s="7" t="s">
        <v>60</v>
      </c>
      <c r="B28" s="8" t="s">
        <v>61</v>
      </c>
      <c r="C28" s="7" t="s">
        <v>107</v>
      </c>
      <c r="D28" s="9">
        <v>500000</v>
      </c>
      <c r="E28" s="10">
        <v>30</v>
      </c>
      <c r="F28" s="9">
        <f t="shared" si="0"/>
        <v>650000</v>
      </c>
    </row>
    <row r="29" spans="1:6" ht="15" customHeight="1" x14ac:dyDescent="0.25">
      <c r="A29" s="7" t="s">
        <v>62</v>
      </c>
      <c r="B29" s="8" t="s">
        <v>63</v>
      </c>
      <c r="C29" s="7" t="s">
        <v>107</v>
      </c>
      <c r="D29" s="9">
        <v>120000</v>
      </c>
      <c r="E29" s="10">
        <v>30</v>
      </c>
      <c r="F29" s="9">
        <f t="shared" si="0"/>
        <v>156000</v>
      </c>
    </row>
    <row r="30" spans="1:6" ht="15" customHeight="1" x14ac:dyDescent="0.25">
      <c r="A30" s="7" t="s">
        <v>64</v>
      </c>
      <c r="B30" s="8" t="s">
        <v>65</v>
      </c>
      <c r="C30" s="7" t="s">
        <v>107</v>
      </c>
      <c r="D30" s="9">
        <v>90000</v>
      </c>
      <c r="E30" s="10">
        <v>30</v>
      </c>
      <c r="F30" s="9">
        <f t="shared" si="0"/>
        <v>117000</v>
      </c>
    </row>
    <row r="31" spans="1:6" ht="15" customHeight="1" x14ac:dyDescent="0.25">
      <c r="A31" s="7" t="s">
        <v>66</v>
      </c>
      <c r="B31" s="8" t="s">
        <v>67</v>
      </c>
      <c r="C31" s="7" t="s">
        <v>107</v>
      </c>
      <c r="D31" s="9">
        <v>130000</v>
      </c>
      <c r="E31" s="10">
        <v>30</v>
      </c>
      <c r="F31" s="9">
        <f t="shared" si="0"/>
        <v>169000</v>
      </c>
    </row>
    <row r="32" spans="1:6" ht="15" customHeight="1" x14ac:dyDescent="0.25">
      <c r="A32" s="7" t="s">
        <v>68</v>
      </c>
      <c r="B32" s="8" t="s">
        <v>69</v>
      </c>
      <c r="C32" s="7" t="s">
        <v>107</v>
      </c>
      <c r="D32" s="9">
        <v>110000</v>
      </c>
      <c r="E32" s="10">
        <v>30</v>
      </c>
      <c r="F32" s="9">
        <f t="shared" si="0"/>
        <v>143000</v>
      </c>
    </row>
    <row r="33" spans="1:6" ht="15" customHeight="1" x14ac:dyDescent="0.25">
      <c r="A33" s="7" t="s">
        <v>70</v>
      </c>
      <c r="B33" s="8" t="s">
        <v>71</v>
      </c>
      <c r="C33" s="7" t="s">
        <v>107</v>
      </c>
      <c r="D33" s="9">
        <v>125000</v>
      </c>
      <c r="E33" s="10">
        <v>30</v>
      </c>
      <c r="F33" s="9">
        <f t="shared" si="0"/>
        <v>162500</v>
      </c>
    </row>
    <row r="34" spans="1:6" ht="15" customHeight="1" x14ac:dyDescent="0.25">
      <c r="A34" s="7" t="s">
        <v>72</v>
      </c>
      <c r="B34" s="8" t="s">
        <v>73</v>
      </c>
      <c r="C34" s="7" t="s">
        <v>107</v>
      </c>
      <c r="D34" s="9">
        <v>200000</v>
      </c>
      <c r="E34" s="10">
        <v>30</v>
      </c>
      <c r="F34" s="9">
        <f t="shared" ref="F34:F65" si="1">D34*(1+E34/100)</f>
        <v>260000</v>
      </c>
    </row>
    <row r="35" spans="1:6" ht="15" customHeight="1" x14ac:dyDescent="0.25">
      <c r="A35" s="7" t="s">
        <v>74</v>
      </c>
      <c r="B35" s="8" t="s">
        <v>75</v>
      </c>
      <c r="C35" s="7" t="s">
        <v>107</v>
      </c>
      <c r="D35" s="9">
        <v>220000</v>
      </c>
      <c r="E35" s="10">
        <v>30</v>
      </c>
      <c r="F35" s="9">
        <f t="shared" si="1"/>
        <v>286000</v>
      </c>
    </row>
    <row r="36" spans="1:6" ht="15" customHeight="1" x14ac:dyDescent="0.25">
      <c r="A36" s="7" t="s">
        <v>76</v>
      </c>
      <c r="B36" s="8" t="s">
        <v>77</v>
      </c>
      <c r="C36" s="7" t="s">
        <v>107</v>
      </c>
      <c r="D36" s="9">
        <v>280000</v>
      </c>
      <c r="E36" s="10">
        <v>30</v>
      </c>
      <c r="F36" s="9">
        <f t="shared" si="1"/>
        <v>364000</v>
      </c>
    </row>
    <row r="37" spans="1:6" ht="15" customHeight="1" x14ac:dyDescent="0.25">
      <c r="A37" s="11" t="s">
        <v>78</v>
      </c>
      <c r="B37" s="12" t="s">
        <v>79</v>
      </c>
      <c r="C37" s="11" t="s">
        <v>80</v>
      </c>
      <c r="D37" s="13">
        <v>62000</v>
      </c>
      <c r="E37" s="14">
        <v>30</v>
      </c>
      <c r="F37" s="13">
        <f t="shared" si="1"/>
        <v>80600</v>
      </c>
    </row>
    <row r="38" spans="1:6" ht="15" customHeight="1" x14ac:dyDescent="0.25">
      <c r="A38" s="11" t="s">
        <v>81</v>
      </c>
      <c r="B38" s="12" t="s">
        <v>82</v>
      </c>
      <c r="C38" s="11" t="s">
        <v>80</v>
      </c>
      <c r="D38" s="13">
        <v>65000</v>
      </c>
      <c r="E38" s="14">
        <v>30</v>
      </c>
      <c r="F38" s="13">
        <f t="shared" si="1"/>
        <v>84500</v>
      </c>
    </row>
    <row r="39" spans="1:6" ht="15" customHeight="1" x14ac:dyDescent="0.25">
      <c r="A39" s="11" t="s">
        <v>83</v>
      </c>
      <c r="B39" s="12" t="s">
        <v>84</v>
      </c>
      <c r="C39" s="11" t="s">
        <v>80</v>
      </c>
      <c r="D39" s="13">
        <v>75000</v>
      </c>
      <c r="E39" s="14">
        <v>30</v>
      </c>
      <c r="F39" s="13">
        <f t="shared" si="1"/>
        <v>97500</v>
      </c>
    </row>
    <row r="40" spans="1:6" ht="15" customHeight="1" x14ac:dyDescent="0.25">
      <c r="A40" s="11" t="s">
        <v>85</v>
      </c>
      <c r="B40" s="12" t="s">
        <v>86</v>
      </c>
      <c r="C40" s="11" t="s">
        <v>80</v>
      </c>
      <c r="D40" s="13">
        <v>78000</v>
      </c>
      <c r="E40" s="14">
        <v>30</v>
      </c>
      <c r="F40" s="13">
        <f t="shared" si="1"/>
        <v>101400</v>
      </c>
    </row>
    <row r="41" spans="1:6" ht="15" customHeight="1" x14ac:dyDescent="0.25">
      <c r="A41" s="11" t="s">
        <v>87</v>
      </c>
      <c r="B41" s="12" t="s">
        <v>88</v>
      </c>
      <c r="C41" s="11" t="s">
        <v>80</v>
      </c>
      <c r="D41" s="13">
        <v>79000</v>
      </c>
      <c r="E41" s="14">
        <v>30</v>
      </c>
      <c r="F41" s="13">
        <f t="shared" si="1"/>
        <v>102700</v>
      </c>
    </row>
    <row r="42" spans="1:6" ht="15" customHeight="1" x14ac:dyDescent="0.25">
      <c r="A42" s="11" t="s">
        <v>89</v>
      </c>
      <c r="B42" s="12" t="s">
        <v>90</v>
      </c>
      <c r="C42" s="11" t="s">
        <v>80</v>
      </c>
      <c r="D42" s="13">
        <v>85000</v>
      </c>
      <c r="E42" s="14">
        <v>30</v>
      </c>
      <c r="F42" s="13">
        <f t="shared" si="1"/>
        <v>110500</v>
      </c>
    </row>
    <row r="43" spans="1:6" ht="15" customHeight="1" x14ac:dyDescent="0.25">
      <c r="A43" s="11" t="s">
        <v>91</v>
      </c>
      <c r="B43" s="12" t="s">
        <v>92</v>
      </c>
      <c r="C43" s="11" t="s">
        <v>80</v>
      </c>
      <c r="D43" s="13">
        <v>92911.71</v>
      </c>
      <c r="E43" s="14">
        <v>30</v>
      </c>
      <c r="F43" s="13">
        <f t="shared" si="1"/>
        <v>120785.22300000001</v>
      </c>
    </row>
    <row r="44" spans="1:6" ht="15" customHeight="1" x14ac:dyDescent="0.25">
      <c r="A44" s="11" t="s">
        <v>93</v>
      </c>
      <c r="B44" s="12" t="s">
        <v>94</v>
      </c>
      <c r="C44" s="11" t="s">
        <v>80</v>
      </c>
      <c r="D44" s="13">
        <v>99278.49</v>
      </c>
      <c r="E44" s="14">
        <v>30</v>
      </c>
      <c r="F44" s="13">
        <f t="shared" si="1"/>
        <v>129062.03700000001</v>
      </c>
    </row>
    <row r="45" spans="1:6" ht="15" customHeight="1" x14ac:dyDescent="0.25">
      <c r="A45" s="11" t="s">
        <v>95</v>
      </c>
      <c r="B45" s="12" t="s">
        <v>96</v>
      </c>
      <c r="C45" s="11" t="s">
        <v>80</v>
      </c>
      <c r="D45" s="13">
        <v>55864.83</v>
      </c>
      <c r="E45" s="14">
        <v>30</v>
      </c>
      <c r="F45" s="13">
        <f t="shared" si="1"/>
        <v>72624.27900000001</v>
      </c>
    </row>
    <row r="46" spans="1:6" ht="15" customHeight="1" x14ac:dyDescent="0.25">
      <c r="A46" s="11" t="s">
        <v>97</v>
      </c>
      <c r="B46" s="12" t="s">
        <v>98</v>
      </c>
      <c r="C46" s="11" t="s">
        <v>80</v>
      </c>
      <c r="D46" s="13">
        <v>85105.93</v>
      </c>
      <c r="E46" s="14">
        <v>30</v>
      </c>
      <c r="F46" s="13">
        <f t="shared" si="1"/>
        <v>110637.70899999999</v>
      </c>
    </row>
    <row r="47" spans="1:6" ht="15" customHeight="1" x14ac:dyDescent="0.25">
      <c r="A47" s="11" t="s">
        <v>99</v>
      </c>
      <c r="B47" s="12" t="s">
        <v>100</v>
      </c>
      <c r="C47" s="11" t="s">
        <v>80</v>
      </c>
      <c r="D47" s="13">
        <v>92769.5</v>
      </c>
      <c r="E47" s="14">
        <v>30</v>
      </c>
      <c r="F47" s="13">
        <f t="shared" si="1"/>
        <v>120600.35</v>
      </c>
    </row>
    <row r="48" spans="1:6" ht="15" customHeight="1" x14ac:dyDescent="0.25">
      <c r="A48" s="11" t="s">
        <v>101</v>
      </c>
      <c r="B48" s="12" t="s">
        <v>102</v>
      </c>
      <c r="C48" s="11" t="s">
        <v>80</v>
      </c>
      <c r="D48" s="13">
        <v>140000</v>
      </c>
      <c r="E48" s="14">
        <v>30</v>
      </c>
      <c r="F48" s="13">
        <f t="shared" si="1"/>
        <v>182000</v>
      </c>
    </row>
    <row r="49" spans="1:6" ht="15" customHeight="1" x14ac:dyDescent="0.25">
      <c r="A49" s="11" t="s">
        <v>103</v>
      </c>
      <c r="B49" s="12" t="s">
        <v>104</v>
      </c>
      <c r="C49" s="11" t="s">
        <v>80</v>
      </c>
      <c r="D49" s="13">
        <v>120000</v>
      </c>
      <c r="E49" s="14">
        <v>30</v>
      </c>
      <c r="F49" s="13">
        <f t="shared" si="1"/>
        <v>156000</v>
      </c>
    </row>
    <row r="50" spans="1:6" ht="15" customHeight="1" x14ac:dyDescent="0.25">
      <c r="A50" s="15" t="s">
        <v>105</v>
      </c>
      <c r="B50" s="16" t="s">
        <v>106</v>
      </c>
      <c r="C50" s="15" t="s">
        <v>107</v>
      </c>
      <c r="D50" s="17">
        <v>240000</v>
      </c>
      <c r="E50" s="18">
        <v>30</v>
      </c>
      <c r="F50" s="17">
        <f t="shared" si="1"/>
        <v>312000</v>
      </c>
    </row>
    <row r="51" spans="1:6" ht="15" customHeight="1" x14ac:dyDescent="0.25">
      <c r="A51" s="15" t="s">
        <v>108</v>
      </c>
      <c r="B51" s="16" t="s">
        <v>109</v>
      </c>
      <c r="C51" s="15" t="s">
        <v>107</v>
      </c>
      <c r="D51" s="17">
        <v>240000</v>
      </c>
      <c r="E51" s="18">
        <v>30</v>
      </c>
      <c r="F51" s="17">
        <f t="shared" si="1"/>
        <v>312000</v>
      </c>
    </row>
    <row r="52" spans="1:6" ht="15" customHeight="1" x14ac:dyDescent="0.25">
      <c r="A52" s="15" t="s">
        <v>110</v>
      </c>
      <c r="B52" s="16" t="s">
        <v>111</v>
      </c>
      <c r="C52" s="15" t="s">
        <v>107</v>
      </c>
      <c r="D52" s="17">
        <v>250000</v>
      </c>
      <c r="E52" s="18">
        <v>30</v>
      </c>
      <c r="F52" s="17">
        <f t="shared" si="1"/>
        <v>325000</v>
      </c>
    </row>
    <row r="53" spans="1:6" ht="15" customHeight="1" x14ac:dyDescent="0.25">
      <c r="A53" s="15" t="s">
        <v>112</v>
      </c>
      <c r="B53" s="16" t="s">
        <v>113</v>
      </c>
      <c r="C53" s="15" t="s">
        <v>107</v>
      </c>
      <c r="D53" s="17">
        <v>140000</v>
      </c>
      <c r="E53" s="18">
        <v>30</v>
      </c>
      <c r="F53" s="17">
        <f t="shared" si="1"/>
        <v>182000</v>
      </c>
    </row>
    <row r="54" spans="1:6" ht="15" customHeight="1" x14ac:dyDescent="0.25">
      <c r="A54" s="15" t="s">
        <v>114</v>
      </c>
      <c r="B54" s="16" t="s">
        <v>115</v>
      </c>
      <c r="C54" s="15" t="s">
        <v>107</v>
      </c>
      <c r="D54" s="17">
        <v>180000</v>
      </c>
      <c r="E54" s="18">
        <v>30</v>
      </c>
      <c r="F54" s="17">
        <f t="shared" si="1"/>
        <v>234000</v>
      </c>
    </row>
    <row r="55" spans="1:6" ht="15" customHeight="1" x14ac:dyDescent="0.25">
      <c r="A55" s="15" t="s">
        <v>116</v>
      </c>
      <c r="B55" s="16" t="s">
        <v>117</v>
      </c>
      <c r="C55" s="15" t="s">
        <v>107</v>
      </c>
      <c r="D55" s="17">
        <v>170000</v>
      </c>
      <c r="E55" s="18">
        <v>30</v>
      </c>
      <c r="F55" s="17">
        <f t="shared" si="1"/>
        <v>221000</v>
      </c>
    </row>
    <row r="56" spans="1:6" ht="15" customHeight="1" x14ac:dyDescent="0.25">
      <c r="A56" s="15" t="s">
        <v>118</v>
      </c>
      <c r="B56" s="16" t="s">
        <v>119</v>
      </c>
      <c r="C56" s="15" t="s">
        <v>107</v>
      </c>
      <c r="D56" s="17">
        <v>180000</v>
      </c>
      <c r="E56" s="18">
        <v>30</v>
      </c>
      <c r="F56" s="17">
        <f t="shared" si="1"/>
        <v>234000</v>
      </c>
    </row>
    <row r="57" spans="1:6" ht="15" customHeight="1" x14ac:dyDescent="0.25">
      <c r="A57" s="15" t="s">
        <v>120</v>
      </c>
      <c r="B57" s="16" t="s">
        <v>121</v>
      </c>
      <c r="C57" s="15" t="s">
        <v>107</v>
      </c>
      <c r="D57" s="17">
        <v>240000</v>
      </c>
      <c r="E57" s="18">
        <v>30</v>
      </c>
      <c r="F57" s="17">
        <f t="shared" si="1"/>
        <v>312000</v>
      </c>
    </row>
    <row r="58" spans="1:6" ht="15" customHeight="1" x14ac:dyDescent="0.25">
      <c r="A58" s="15" t="s">
        <v>122</v>
      </c>
      <c r="B58" s="16" t="s">
        <v>123</v>
      </c>
      <c r="C58" s="15" t="s">
        <v>107</v>
      </c>
      <c r="D58" s="17">
        <v>140000</v>
      </c>
      <c r="E58" s="18">
        <v>30</v>
      </c>
      <c r="F58" s="17">
        <f t="shared" si="1"/>
        <v>182000</v>
      </c>
    </row>
    <row r="59" spans="1:6" ht="15" customHeight="1" x14ac:dyDescent="0.25">
      <c r="A59" s="15" t="s">
        <v>124</v>
      </c>
      <c r="B59" s="16" t="s">
        <v>125</v>
      </c>
      <c r="C59" s="15" t="s">
        <v>107</v>
      </c>
      <c r="D59" s="17">
        <v>260000</v>
      </c>
      <c r="E59" s="18">
        <v>30</v>
      </c>
      <c r="F59" s="17">
        <f t="shared" si="1"/>
        <v>338000</v>
      </c>
    </row>
    <row r="60" spans="1:6" ht="15" customHeight="1" x14ac:dyDescent="0.25">
      <c r="A60" s="15" t="s">
        <v>126</v>
      </c>
      <c r="B60" s="16" t="s">
        <v>127</v>
      </c>
      <c r="C60" s="15" t="s">
        <v>107</v>
      </c>
      <c r="D60" s="17">
        <v>260000</v>
      </c>
      <c r="E60" s="18">
        <v>30</v>
      </c>
      <c r="F60" s="17">
        <f t="shared" si="1"/>
        <v>338000</v>
      </c>
    </row>
    <row r="61" spans="1:6" ht="15" customHeight="1" x14ac:dyDescent="0.25">
      <c r="A61" s="15" t="s">
        <v>128</v>
      </c>
      <c r="B61" s="16" t="s">
        <v>129</v>
      </c>
      <c r="C61" s="15" t="s">
        <v>107</v>
      </c>
      <c r="D61" s="17">
        <v>280000</v>
      </c>
      <c r="E61" s="18">
        <v>30</v>
      </c>
      <c r="F61" s="17">
        <f t="shared" si="1"/>
        <v>364000</v>
      </c>
    </row>
    <row r="62" spans="1:6" ht="15" customHeight="1" x14ac:dyDescent="0.25">
      <c r="A62" s="15" t="s">
        <v>130</v>
      </c>
      <c r="B62" s="16" t="s">
        <v>131</v>
      </c>
      <c r="C62" s="15" t="s">
        <v>107</v>
      </c>
      <c r="D62" s="17">
        <v>147850.81</v>
      </c>
      <c r="E62" s="18">
        <v>30</v>
      </c>
      <c r="F62" s="17">
        <f t="shared" si="1"/>
        <v>192206.05300000001</v>
      </c>
    </row>
    <row r="63" spans="1:6" ht="15" customHeight="1" x14ac:dyDescent="0.25">
      <c r="A63" s="15" t="s">
        <v>132</v>
      </c>
      <c r="B63" s="16" t="s">
        <v>133</v>
      </c>
      <c r="C63" s="15" t="s">
        <v>107</v>
      </c>
      <c r="D63" s="17">
        <v>280000</v>
      </c>
      <c r="E63" s="18">
        <v>30</v>
      </c>
      <c r="F63" s="17">
        <f t="shared" si="1"/>
        <v>364000</v>
      </c>
    </row>
    <row r="64" spans="1:6" ht="15" customHeight="1" x14ac:dyDescent="0.25">
      <c r="A64" s="15" t="s">
        <v>134</v>
      </c>
      <c r="B64" s="16" t="s">
        <v>135</v>
      </c>
      <c r="C64" s="15" t="s">
        <v>107</v>
      </c>
      <c r="D64" s="17">
        <v>140017.38</v>
      </c>
      <c r="E64" s="18">
        <v>30</v>
      </c>
      <c r="F64" s="17">
        <f t="shared" si="1"/>
        <v>182022.59400000001</v>
      </c>
    </row>
    <row r="65" spans="1:6" ht="15" customHeight="1" x14ac:dyDescent="0.25">
      <c r="A65" s="19" t="s">
        <v>136</v>
      </c>
      <c r="B65" s="20" t="s">
        <v>137</v>
      </c>
      <c r="C65" s="19" t="s">
        <v>138</v>
      </c>
      <c r="D65" s="21">
        <v>55000</v>
      </c>
      <c r="E65" s="22">
        <v>30</v>
      </c>
      <c r="F65" s="21">
        <f t="shared" si="1"/>
        <v>71500</v>
      </c>
    </row>
    <row r="66" spans="1:6" ht="15" customHeight="1" x14ac:dyDescent="0.25">
      <c r="A66" s="19" t="s">
        <v>139</v>
      </c>
      <c r="B66" s="20" t="s">
        <v>140</v>
      </c>
      <c r="C66" s="19" t="s">
        <v>138</v>
      </c>
      <c r="D66" s="21">
        <v>59000</v>
      </c>
      <c r="E66" s="22">
        <v>30</v>
      </c>
      <c r="F66" s="21">
        <f t="shared" ref="F66:F97" si="2">D66*(1+E66/100)</f>
        <v>76700</v>
      </c>
    </row>
    <row r="67" spans="1:6" ht="15" customHeight="1" x14ac:dyDescent="0.25">
      <c r="A67" s="19" t="s">
        <v>141</v>
      </c>
      <c r="B67" s="20" t="s">
        <v>142</v>
      </c>
      <c r="C67" s="19" t="s">
        <v>138</v>
      </c>
      <c r="D67" s="21">
        <v>64000</v>
      </c>
      <c r="E67" s="22">
        <v>30</v>
      </c>
      <c r="F67" s="21">
        <f t="shared" si="2"/>
        <v>83200</v>
      </c>
    </row>
    <row r="68" spans="1:6" ht="15" customHeight="1" x14ac:dyDescent="0.25">
      <c r="A68" s="19" t="s">
        <v>143</v>
      </c>
      <c r="B68" s="20" t="s">
        <v>144</v>
      </c>
      <c r="C68" s="19" t="s">
        <v>138</v>
      </c>
      <c r="D68" s="21">
        <v>69000</v>
      </c>
      <c r="E68" s="22">
        <v>30</v>
      </c>
      <c r="F68" s="21">
        <f t="shared" si="2"/>
        <v>89700</v>
      </c>
    </row>
    <row r="69" spans="1:6" ht="15" customHeight="1" x14ac:dyDescent="0.25">
      <c r="A69" s="19" t="s">
        <v>145</v>
      </c>
      <c r="B69" s="20" t="s">
        <v>146</v>
      </c>
      <c r="C69" s="19" t="s">
        <v>138</v>
      </c>
      <c r="D69" s="21">
        <v>70000</v>
      </c>
      <c r="E69" s="22">
        <v>30</v>
      </c>
      <c r="F69" s="21">
        <f t="shared" si="2"/>
        <v>91000</v>
      </c>
    </row>
    <row r="70" spans="1:6" ht="15" customHeight="1" x14ac:dyDescent="0.25">
      <c r="A70" s="19" t="s">
        <v>147</v>
      </c>
      <c r="B70" s="20" t="s">
        <v>148</v>
      </c>
      <c r="C70" s="19" t="s">
        <v>138</v>
      </c>
      <c r="D70" s="21">
        <v>70000</v>
      </c>
      <c r="E70" s="22">
        <v>30</v>
      </c>
      <c r="F70" s="21">
        <f t="shared" si="2"/>
        <v>91000</v>
      </c>
    </row>
    <row r="71" spans="1:6" ht="15" customHeight="1" x14ac:dyDescent="0.25">
      <c r="A71" s="19" t="s">
        <v>149</v>
      </c>
      <c r="B71" s="20" t="s">
        <v>150</v>
      </c>
      <c r="C71" s="19" t="s">
        <v>138</v>
      </c>
      <c r="D71" s="21">
        <v>90000</v>
      </c>
      <c r="E71" s="22">
        <v>30</v>
      </c>
      <c r="F71" s="21">
        <f t="shared" si="2"/>
        <v>117000</v>
      </c>
    </row>
    <row r="72" spans="1:6" ht="15" customHeight="1" x14ac:dyDescent="0.25">
      <c r="A72" s="19" t="s">
        <v>151</v>
      </c>
      <c r="B72" s="20" t="s">
        <v>152</v>
      </c>
      <c r="C72" s="19" t="s">
        <v>138</v>
      </c>
      <c r="D72" s="21">
        <v>82000</v>
      </c>
      <c r="E72" s="22">
        <v>30</v>
      </c>
      <c r="F72" s="21">
        <f t="shared" si="2"/>
        <v>106600</v>
      </c>
    </row>
    <row r="73" spans="1:6" ht="15" customHeight="1" x14ac:dyDescent="0.25">
      <c r="A73" s="19" t="s">
        <v>153</v>
      </c>
      <c r="B73" s="20" t="s">
        <v>154</v>
      </c>
      <c r="C73" s="19" t="s">
        <v>138</v>
      </c>
      <c r="D73" s="21">
        <v>86000</v>
      </c>
      <c r="E73" s="22">
        <v>30</v>
      </c>
      <c r="F73" s="21">
        <f t="shared" si="2"/>
        <v>111800</v>
      </c>
    </row>
    <row r="74" spans="1:6" ht="15" customHeight="1" x14ac:dyDescent="0.25">
      <c r="A74" s="19" t="s">
        <v>155</v>
      </c>
      <c r="B74" s="20" t="s">
        <v>156</v>
      </c>
      <c r="C74" s="19" t="s">
        <v>138</v>
      </c>
      <c r="D74" s="21">
        <v>105000</v>
      </c>
      <c r="E74" s="22">
        <v>30</v>
      </c>
      <c r="F74" s="21">
        <f t="shared" si="2"/>
        <v>136500</v>
      </c>
    </row>
    <row r="75" spans="1:6" ht="15" customHeight="1" x14ac:dyDescent="0.25">
      <c r="A75" s="19" t="s">
        <v>157</v>
      </c>
      <c r="B75" s="20" t="s">
        <v>158</v>
      </c>
      <c r="C75" s="19" t="s">
        <v>138</v>
      </c>
      <c r="D75" s="21">
        <v>115413.96</v>
      </c>
      <c r="E75" s="22">
        <v>30</v>
      </c>
      <c r="F75" s="21">
        <f t="shared" si="2"/>
        <v>150038.14800000002</v>
      </c>
    </row>
    <row r="76" spans="1:6" ht="15" customHeight="1" x14ac:dyDescent="0.25">
      <c r="A76" s="19" t="s">
        <v>159</v>
      </c>
      <c r="B76" s="20" t="s">
        <v>160</v>
      </c>
      <c r="C76" s="19" t="s">
        <v>138</v>
      </c>
      <c r="D76" s="21">
        <v>141520.48000000001</v>
      </c>
      <c r="E76" s="22">
        <v>30</v>
      </c>
      <c r="F76" s="21">
        <f t="shared" si="2"/>
        <v>183976.62400000001</v>
      </c>
    </row>
    <row r="77" spans="1:6" ht="15" customHeight="1" x14ac:dyDescent="0.25">
      <c r="A77" s="19" t="s">
        <v>161</v>
      </c>
      <c r="B77" s="20" t="s">
        <v>162</v>
      </c>
      <c r="C77" s="19" t="s">
        <v>138</v>
      </c>
      <c r="D77" s="21">
        <v>157068.73000000001</v>
      </c>
      <c r="E77" s="22">
        <v>30</v>
      </c>
      <c r="F77" s="21">
        <f t="shared" si="2"/>
        <v>204189.34900000002</v>
      </c>
    </row>
    <row r="78" spans="1:6" ht="15" customHeight="1" x14ac:dyDescent="0.25">
      <c r="A78" s="19" t="s">
        <v>163</v>
      </c>
      <c r="B78" s="20" t="s">
        <v>164</v>
      </c>
      <c r="C78" s="19" t="s">
        <v>138</v>
      </c>
      <c r="D78" s="21">
        <v>184876.3</v>
      </c>
      <c r="E78" s="22">
        <v>30</v>
      </c>
      <c r="F78" s="21">
        <f t="shared" si="2"/>
        <v>240339.19</v>
      </c>
    </row>
    <row r="79" spans="1:6" ht="15" customHeight="1" x14ac:dyDescent="0.25">
      <c r="A79" s="19" t="s">
        <v>165</v>
      </c>
      <c r="B79" s="20" t="s">
        <v>166</v>
      </c>
      <c r="C79" s="19" t="s">
        <v>138</v>
      </c>
      <c r="D79" s="21">
        <v>180000</v>
      </c>
      <c r="E79" s="22">
        <v>30</v>
      </c>
      <c r="F79" s="21">
        <f t="shared" si="2"/>
        <v>234000</v>
      </c>
    </row>
    <row r="80" spans="1:6" ht="15" customHeight="1" x14ac:dyDescent="0.25">
      <c r="A80" s="19" t="s">
        <v>167</v>
      </c>
      <c r="B80" s="20" t="s">
        <v>168</v>
      </c>
      <c r="C80" s="19" t="s">
        <v>138</v>
      </c>
      <c r="D80" s="21">
        <v>200000</v>
      </c>
      <c r="E80" s="22">
        <v>30</v>
      </c>
      <c r="F80" s="21">
        <f t="shared" si="2"/>
        <v>260000</v>
      </c>
    </row>
    <row r="81" spans="1:6" ht="15" customHeight="1" x14ac:dyDescent="0.25">
      <c r="A81" s="19" t="s">
        <v>169</v>
      </c>
      <c r="B81" s="20" t="s">
        <v>170</v>
      </c>
      <c r="C81" s="19" t="s">
        <v>138</v>
      </c>
      <c r="D81" s="21">
        <v>200000</v>
      </c>
      <c r="E81" s="22">
        <v>30</v>
      </c>
      <c r="F81" s="21">
        <f t="shared" si="2"/>
        <v>260000</v>
      </c>
    </row>
    <row r="82" spans="1:6" ht="15" customHeight="1" x14ac:dyDescent="0.25">
      <c r="A82" s="19" t="s">
        <v>171</v>
      </c>
      <c r="B82" s="20" t="s">
        <v>172</v>
      </c>
      <c r="C82" s="19" t="s">
        <v>138</v>
      </c>
      <c r="D82" s="21">
        <v>180000</v>
      </c>
      <c r="E82" s="22">
        <v>30</v>
      </c>
      <c r="F82" s="21">
        <f t="shared" si="2"/>
        <v>234000</v>
      </c>
    </row>
    <row r="83" spans="1:6" ht="15" customHeight="1" x14ac:dyDescent="0.25">
      <c r="A83" s="19" t="s">
        <v>173</v>
      </c>
      <c r="B83" s="20" t="s">
        <v>174</v>
      </c>
      <c r="C83" s="19" t="s">
        <v>138</v>
      </c>
      <c r="D83" s="21">
        <v>250000</v>
      </c>
      <c r="E83" s="22">
        <v>30</v>
      </c>
      <c r="F83" s="21">
        <f t="shared" si="2"/>
        <v>325000</v>
      </c>
    </row>
    <row r="84" spans="1:6" ht="15" customHeight="1" x14ac:dyDescent="0.25">
      <c r="A84" s="19" t="s">
        <v>175</v>
      </c>
      <c r="B84" s="20" t="s">
        <v>176</v>
      </c>
      <c r="C84" s="19" t="s">
        <v>138</v>
      </c>
      <c r="D84" s="21">
        <v>110000</v>
      </c>
      <c r="E84" s="22">
        <v>30</v>
      </c>
      <c r="F84" s="21">
        <f t="shared" si="2"/>
        <v>143000</v>
      </c>
    </row>
    <row r="85" spans="1:6" ht="15" customHeight="1" x14ac:dyDescent="0.25">
      <c r="A85" s="19" t="s">
        <v>177</v>
      </c>
      <c r="B85" s="20" t="s">
        <v>178</v>
      </c>
      <c r="C85" s="19" t="s">
        <v>138</v>
      </c>
      <c r="D85" s="21">
        <v>100000</v>
      </c>
      <c r="E85" s="22">
        <v>30</v>
      </c>
      <c r="F85" s="21">
        <f t="shared" si="2"/>
        <v>130000</v>
      </c>
    </row>
    <row r="86" spans="1:6" ht="15" customHeight="1" x14ac:dyDescent="0.25">
      <c r="A86" s="19" t="s">
        <v>179</v>
      </c>
      <c r="B86" s="20" t="s">
        <v>180</v>
      </c>
      <c r="C86" s="19" t="s">
        <v>138</v>
      </c>
      <c r="D86" s="21">
        <v>130000</v>
      </c>
      <c r="E86" s="22">
        <v>30</v>
      </c>
      <c r="F86" s="21">
        <f t="shared" si="2"/>
        <v>169000</v>
      </c>
    </row>
    <row r="87" spans="1:6" ht="15" customHeight="1" x14ac:dyDescent="0.25">
      <c r="A87" s="19" t="s">
        <v>181</v>
      </c>
      <c r="B87" s="20" t="s">
        <v>182</v>
      </c>
      <c r="C87" s="19" t="s">
        <v>138</v>
      </c>
      <c r="D87" s="21">
        <v>155000</v>
      </c>
      <c r="E87" s="22">
        <v>30</v>
      </c>
      <c r="F87" s="21">
        <f t="shared" si="2"/>
        <v>201500</v>
      </c>
    </row>
    <row r="88" spans="1:6" ht="15" customHeight="1" x14ac:dyDescent="0.25">
      <c r="A88" s="19" t="s">
        <v>183</v>
      </c>
      <c r="B88" s="20" t="s">
        <v>184</v>
      </c>
      <c r="C88" s="19" t="s">
        <v>138</v>
      </c>
      <c r="D88" s="21">
        <v>140000</v>
      </c>
      <c r="E88" s="22">
        <v>30</v>
      </c>
      <c r="F88" s="21">
        <f t="shared" si="2"/>
        <v>182000</v>
      </c>
    </row>
    <row r="89" spans="1:6" ht="15" customHeight="1" x14ac:dyDescent="0.25">
      <c r="A89" s="23" t="s">
        <v>185</v>
      </c>
      <c r="B89" s="24" t="s">
        <v>186</v>
      </c>
      <c r="C89" s="23" t="s">
        <v>187</v>
      </c>
      <c r="D89" s="25">
        <v>135000</v>
      </c>
      <c r="E89" s="26">
        <v>30</v>
      </c>
      <c r="F89" s="25">
        <f t="shared" si="2"/>
        <v>175500</v>
      </c>
    </row>
    <row r="90" spans="1:6" ht="15" customHeight="1" x14ac:dyDescent="0.25">
      <c r="A90" s="23" t="s">
        <v>188</v>
      </c>
      <c r="B90" s="24" t="s">
        <v>189</v>
      </c>
      <c r="C90" s="23" t="s">
        <v>187</v>
      </c>
      <c r="D90" s="25">
        <v>160000</v>
      </c>
      <c r="E90" s="26">
        <v>30</v>
      </c>
      <c r="F90" s="25">
        <f t="shared" si="2"/>
        <v>208000</v>
      </c>
    </row>
    <row r="91" spans="1:6" ht="15" customHeight="1" x14ac:dyDescent="0.25">
      <c r="A91" s="23" t="s">
        <v>190</v>
      </c>
      <c r="B91" s="24" t="s">
        <v>191</v>
      </c>
      <c r="C91" s="23" t="s">
        <v>187</v>
      </c>
      <c r="D91" s="25">
        <v>160000</v>
      </c>
      <c r="E91" s="26">
        <v>30</v>
      </c>
      <c r="F91" s="25">
        <f t="shared" si="2"/>
        <v>208000</v>
      </c>
    </row>
    <row r="92" spans="1:6" ht="15" customHeight="1" x14ac:dyDescent="0.25">
      <c r="A92" s="23" t="s">
        <v>192</v>
      </c>
      <c r="B92" s="24" t="s">
        <v>193</v>
      </c>
      <c r="C92" s="23" t="s">
        <v>187</v>
      </c>
      <c r="D92" s="25">
        <v>160000</v>
      </c>
      <c r="E92" s="26">
        <v>30</v>
      </c>
      <c r="F92" s="25">
        <f t="shared" si="2"/>
        <v>208000</v>
      </c>
    </row>
    <row r="93" spans="1:6" ht="15" customHeight="1" x14ac:dyDescent="0.25">
      <c r="C93" s="27" t="s">
        <v>194</v>
      </c>
      <c r="D93" s="28">
        <f>COUNTA(A2:A92)</f>
        <v>91</v>
      </c>
      <c r="E93" s="29"/>
      <c r="F93" s="30">
        <f>SUM(F2:F92)</f>
        <v>19011167.889999997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/>
  </sheetViews>
  <sheetFormatPr baseColWidth="10" defaultColWidth="8.7109375" defaultRowHeight="15" x14ac:dyDescent="0.25"/>
  <cols>
    <col min="1" max="1" width="14" style="1" customWidth="1"/>
    <col min="2" max="2" width="42" style="1" customWidth="1"/>
    <col min="3" max="3" width="14" style="1" customWidth="1"/>
    <col min="4" max="4" width="22" style="1" customWidth="1"/>
    <col min="5" max="5" width="14" customWidth="1"/>
    <col min="6" max="6" width="22" customWidth="1"/>
  </cols>
  <sheetData>
    <row r="1" spans="1:6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25">
      <c r="A2" s="3" t="s">
        <v>6</v>
      </c>
      <c r="B2" s="4" t="s">
        <v>7</v>
      </c>
      <c r="C2" s="3" t="s">
        <v>8</v>
      </c>
      <c r="D2" s="5">
        <v>56617.49</v>
      </c>
      <c r="E2" s="6">
        <v>30</v>
      </c>
      <c r="F2" s="5">
        <f t="shared" ref="F2:F9" si="0">D2*(1+E2/100)</f>
        <v>73602.736999999994</v>
      </c>
    </row>
    <row r="3" spans="1:6" ht="15" customHeight="1" x14ac:dyDescent="0.25">
      <c r="A3" s="3" t="s">
        <v>9</v>
      </c>
      <c r="B3" s="4" t="s">
        <v>10</v>
      </c>
      <c r="C3" s="3" t="s">
        <v>8</v>
      </c>
      <c r="D3" s="5">
        <v>56927.29</v>
      </c>
      <c r="E3" s="6">
        <v>30</v>
      </c>
      <c r="F3" s="5">
        <f t="shared" si="0"/>
        <v>74005.476999999999</v>
      </c>
    </row>
    <row r="4" spans="1:6" ht="15" customHeight="1" x14ac:dyDescent="0.25">
      <c r="A4" s="3" t="s">
        <v>11</v>
      </c>
      <c r="B4" s="4" t="s">
        <v>12</v>
      </c>
      <c r="C4" s="3" t="s">
        <v>8</v>
      </c>
      <c r="D4" s="5">
        <v>58515.06</v>
      </c>
      <c r="E4" s="6">
        <v>30</v>
      </c>
      <c r="F4" s="5">
        <f t="shared" si="0"/>
        <v>76069.577999999994</v>
      </c>
    </row>
    <row r="5" spans="1:6" ht="15" customHeight="1" x14ac:dyDescent="0.25">
      <c r="A5" s="3" t="s">
        <v>13</v>
      </c>
      <c r="B5" s="4" t="s">
        <v>14</v>
      </c>
      <c r="C5" s="3" t="s">
        <v>8</v>
      </c>
      <c r="D5" s="5">
        <v>62000</v>
      </c>
      <c r="E5" s="6">
        <v>30</v>
      </c>
      <c r="F5" s="5">
        <f t="shared" si="0"/>
        <v>80600</v>
      </c>
    </row>
    <row r="6" spans="1:6" ht="15" customHeight="1" x14ac:dyDescent="0.25">
      <c r="A6" s="3" t="s">
        <v>15</v>
      </c>
      <c r="B6" s="4" t="s">
        <v>16</v>
      </c>
      <c r="C6" s="3" t="s">
        <v>8</v>
      </c>
      <c r="D6" s="5">
        <v>63000</v>
      </c>
      <c r="E6" s="6">
        <v>30</v>
      </c>
      <c r="F6" s="5">
        <f t="shared" si="0"/>
        <v>81900</v>
      </c>
    </row>
    <row r="7" spans="1:6" ht="15" customHeight="1" x14ac:dyDescent="0.25">
      <c r="A7" s="3" t="s">
        <v>17</v>
      </c>
      <c r="B7" s="4" t="s">
        <v>18</v>
      </c>
      <c r="C7" s="3" t="s">
        <v>8</v>
      </c>
      <c r="D7" s="5">
        <v>63000</v>
      </c>
      <c r="E7" s="6">
        <v>30</v>
      </c>
      <c r="F7" s="5">
        <f t="shared" si="0"/>
        <v>81900</v>
      </c>
    </row>
    <row r="8" spans="1:6" ht="15" customHeight="1" x14ac:dyDescent="0.25">
      <c r="A8" s="3" t="s">
        <v>19</v>
      </c>
      <c r="B8" s="4" t="s">
        <v>20</v>
      </c>
      <c r="C8" s="3" t="s">
        <v>8</v>
      </c>
      <c r="D8" s="5">
        <v>85000</v>
      </c>
      <c r="E8" s="6">
        <v>30</v>
      </c>
      <c r="F8" s="5">
        <f t="shared" si="0"/>
        <v>110500</v>
      </c>
    </row>
    <row r="9" spans="1:6" ht="15" customHeight="1" x14ac:dyDescent="0.25">
      <c r="A9" s="3" t="s">
        <v>21</v>
      </c>
      <c r="B9" s="4" t="s">
        <v>22</v>
      </c>
      <c r="C9" s="3" t="s">
        <v>8</v>
      </c>
      <c r="D9" s="5">
        <v>88798.83</v>
      </c>
      <c r="E9" s="6">
        <v>30</v>
      </c>
      <c r="F9" s="5">
        <f t="shared" si="0"/>
        <v>115438.47900000001</v>
      </c>
    </row>
    <row r="10" spans="1:6" ht="15" customHeight="1" x14ac:dyDescent="0.25">
      <c r="C10" s="27" t="s">
        <v>195</v>
      </c>
      <c r="D10" s="31">
        <f>SUM(D2:D9)</f>
        <v>533858.66999999993</v>
      </c>
      <c r="E10" s="29"/>
      <c r="F10" s="30">
        <f>SUM(F2:F9)</f>
        <v>694016.27099999995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zoomScaleNormal="100" workbookViewId="0"/>
  </sheetViews>
  <sheetFormatPr baseColWidth="10" defaultColWidth="8.7109375" defaultRowHeight="15" x14ac:dyDescent="0.25"/>
  <cols>
    <col min="1" max="1" width="14" style="1" customWidth="1"/>
    <col min="2" max="2" width="42" style="1" customWidth="1"/>
    <col min="3" max="3" width="14" style="1" customWidth="1"/>
    <col min="4" max="4" width="22" style="1" customWidth="1"/>
    <col min="5" max="5" width="14" customWidth="1"/>
    <col min="6" max="6" width="22" customWidth="1"/>
  </cols>
  <sheetData>
    <row r="1" spans="1:6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25">
      <c r="A2" s="7" t="s">
        <v>23</v>
      </c>
      <c r="B2" s="8" t="s">
        <v>24</v>
      </c>
      <c r="C2" s="7" t="s">
        <v>25</v>
      </c>
      <c r="D2" s="9">
        <v>116318.32</v>
      </c>
      <c r="E2" s="10">
        <v>30</v>
      </c>
      <c r="F2" s="9">
        <f t="shared" ref="F2:F28" si="0">D2*(1+E2/100)</f>
        <v>151213.81600000002</v>
      </c>
    </row>
    <row r="3" spans="1:6" ht="15" customHeight="1" x14ac:dyDescent="0.25">
      <c r="A3" s="7" t="s">
        <v>26</v>
      </c>
      <c r="B3" s="8" t="s">
        <v>27</v>
      </c>
      <c r="C3" s="7" t="s">
        <v>25</v>
      </c>
      <c r="D3" s="9">
        <v>160000</v>
      </c>
      <c r="E3" s="10">
        <v>30</v>
      </c>
      <c r="F3" s="9">
        <f t="shared" si="0"/>
        <v>208000</v>
      </c>
    </row>
    <row r="4" spans="1:6" ht="15" customHeight="1" x14ac:dyDescent="0.25">
      <c r="A4" s="7" t="s">
        <v>28</v>
      </c>
      <c r="B4" s="8" t="s">
        <v>29</v>
      </c>
      <c r="C4" s="7" t="s">
        <v>25</v>
      </c>
      <c r="D4" s="9">
        <v>220000</v>
      </c>
      <c r="E4" s="10">
        <v>30</v>
      </c>
      <c r="F4" s="9">
        <f t="shared" si="0"/>
        <v>286000</v>
      </c>
    </row>
    <row r="5" spans="1:6" ht="15" customHeight="1" x14ac:dyDescent="0.25">
      <c r="A5" s="7" t="s">
        <v>30</v>
      </c>
      <c r="B5" s="8" t="s">
        <v>31</v>
      </c>
      <c r="C5" s="7" t="s">
        <v>25</v>
      </c>
      <c r="D5" s="9">
        <v>202097.4</v>
      </c>
      <c r="E5" s="10">
        <v>30</v>
      </c>
      <c r="F5" s="9">
        <f t="shared" si="0"/>
        <v>262726.62</v>
      </c>
    </row>
    <row r="6" spans="1:6" ht="15" customHeight="1" x14ac:dyDescent="0.25">
      <c r="A6" s="7" t="s">
        <v>32</v>
      </c>
      <c r="B6" s="8" t="s">
        <v>33</v>
      </c>
      <c r="C6" s="7" t="s">
        <v>25</v>
      </c>
      <c r="D6" s="9">
        <v>240000</v>
      </c>
      <c r="E6" s="10">
        <v>30</v>
      </c>
      <c r="F6" s="9">
        <f t="shared" si="0"/>
        <v>312000</v>
      </c>
    </row>
    <row r="7" spans="1:6" ht="15" customHeight="1" x14ac:dyDescent="0.25">
      <c r="A7" s="7" t="s">
        <v>34</v>
      </c>
      <c r="B7" s="8" t="s">
        <v>35</v>
      </c>
      <c r="C7" s="7" t="s">
        <v>25</v>
      </c>
      <c r="D7" s="9">
        <v>217626.21</v>
      </c>
      <c r="E7" s="10">
        <v>30</v>
      </c>
      <c r="F7" s="9">
        <f t="shared" si="0"/>
        <v>282914.07299999997</v>
      </c>
    </row>
    <row r="8" spans="1:6" ht="15" customHeight="1" x14ac:dyDescent="0.25">
      <c r="A8" s="7" t="s">
        <v>36</v>
      </c>
      <c r="B8" s="8" t="s">
        <v>37</v>
      </c>
      <c r="C8" s="7" t="s">
        <v>25</v>
      </c>
      <c r="D8" s="9">
        <v>273165.84999999998</v>
      </c>
      <c r="E8" s="10">
        <v>30</v>
      </c>
      <c r="F8" s="9">
        <f t="shared" si="0"/>
        <v>355115.60499999998</v>
      </c>
    </row>
    <row r="9" spans="1:6" ht="15" customHeight="1" x14ac:dyDescent="0.25">
      <c r="A9" s="7" t="s">
        <v>38</v>
      </c>
      <c r="B9" s="8" t="s">
        <v>39</v>
      </c>
      <c r="C9" s="7" t="s">
        <v>25</v>
      </c>
      <c r="D9" s="9">
        <v>198976.78</v>
      </c>
      <c r="E9" s="10">
        <v>30</v>
      </c>
      <c r="F9" s="9">
        <f t="shared" si="0"/>
        <v>258669.81400000001</v>
      </c>
    </row>
    <row r="10" spans="1:6" ht="15" customHeight="1" x14ac:dyDescent="0.25">
      <c r="A10" s="7" t="s">
        <v>40</v>
      </c>
      <c r="B10" s="8" t="s">
        <v>41</v>
      </c>
      <c r="C10" s="7" t="s">
        <v>25</v>
      </c>
      <c r="D10" s="9">
        <v>250000</v>
      </c>
      <c r="E10" s="10">
        <v>30</v>
      </c>
      <c r="F10" s="9">
        <f t="shared" si="0"/>
        <v>325000</v>
      </c>
    </row>
    <row r="11" spans="1:6" ht="15" customHeight="1" x14ac:dyDescent="0.25">
      <c r="A11" s="7" t="s">
        <v>42</v>
      </c>
      <c r="B11" s="8" t="s">
        <v>43</v>
      </c>
      <c r="C11" s="7" t="s">
        <v>25</v>
      </c>
      <c r="D11" s="9">
        <v>182617.33</v>
      </c>
      <c r="E11" s="10">
        <v>30</v>
      </c>
      <c r="F11" s="9">
        <f t="shared" si="0"/>
        <v>237402.52899999998</v>
      </c>
    </row>
    <row r="12" spans="1:6" ht="15" customHeight="1" x14ac:dyDescent="0.25">
      <c r="A12" s="7" t="s">
        <v>44</v>
      </c>
      <c r="B12" s="8" t="s">
        <v>45</v>
      </c>
      <c r="C12" s="7" t="s">
        <v>25</v>
      </c>
      <c r="D12" s="9">
        <v>181813.36</v>
      </c>
      <c r="E12" s="10">
        <v>30</v>
      </c>
      <c r="F12" s="9">
        <f t="shared" si="0"/>
        <v>236357.36799999999</v>
      </c>
    </row>
    <row r="13" spans="1:6" ht="15" customHeight="1" x14ac:dyDescent="0.25">
      <c r="A13" s="7" t="s">
        <v>46</v>
      </c>
      <c r="B13" s="8" t="s">
        <v>47</v>
      </c>
      <c r="C13" s="7" t="s">
        <v>25</v>
      </c>
      <c r="D13" s="9">
        <v>280000</v>
      </c>
      <c r="E13" s="10">
        <v>30</v>
      </c>
      <c r="F13" s="9">
        <f t="shared" si="0"/>
        <v>364000</v>
      </c>
    </row>
    <row r="14" spans="1:6" ht="15" customHeight="1" x14ac:dyDescent="0.25">
      <c r="A14" s="7" t="s">
        <v>48</v>
      </c>
      <c r="B14" s="8" t="s">
        <v>49</v>
      </c>
      <c r="C14" s="7" t="s">
        <v>25</v>
      </c>
      <c r="D14" s="9">
        <v>245823.26</v>
      </c>
      <c r="E14" s="10">
        <v>30</v>
      </c>
      <c r="F14" s="9">
        <f t="shared" si="0"/>
        <v>319570.23800000001</v>
      </c>
    </row>
    <row r="15" spans="1:6" ht="15" customHeight="1" x14ac:dyDescent="0.25">
      <c r="A15" s="7" t="s">
        <v>50</v>
      </c>
      <c r="B15" s="8" t="s">
        <v>51</v>
      </c>
      <c r="C15" s="7" t="s">
        <v>25</v>
      </c>
      <c r="D15" s="9">
        <v>260000</v>
      </c>
      <c r="E15" s="10">
        <v>30</v>
      </c>
      <c r="F15" s="9">
        <f t="shared" si="0"/>
        <v>338000</v>
      </c>
    </row>
    <row r="16" spans="1:6" ht="15" customHeight="1" x14ac:dyDescent="0.25">
      <c r="A16" s="7" t="s">
        <v>52</v>
      </c>
      <c r="B16" s="8" t="s">
        <v>53</v>
      </c>
      <c r="C16" s="7" t="s">
        <v>25</v>
      </c>
      <c r="D16" s="9">
        <v>300000</v>
      </c>
      <c r="E16" s="10">
        <v>30</v>
      </c>
      <c r="F16" s="9">
        <f t="shared" si="0"/>
        <v>390000</v>
      </c>
    </row>
    <row r="17" spans="1:6" ht="15" customHeight="1" x14ac:dyDescent="0.25">
      <c r="A17" s="7" t="s">
        <v>54</v>
      </c>
      <c r="B17" s="8" t="s">
        <v>55</v>
      </c>
      <c r="C17" s="7" t="s">
        <v>25</v>
      </c>
      <c r="D17" s="9">
        <v>320000</v>
      </c>
      <c r="E17" s="10">
        <v>30</v>
      </c>
      <c r="F17" s="9">
        <f t="shared" si="0"/>
        <v>416000</v>
      </c>
    </row>
    <row r="18" spans="1:6" ht="15" customHeight="1" x14ac:dyDescent="0.25">
      <c r="A18" s="7" t="s">
        <v>56</v>
      </c>
      <c r="B18" s="8" t="s">
        <v>57</v>
      </c>
      <c r="C18" s="7" t="s">
        <v>25</v>
      </c>
      <c r="D18" s="9">
        <v>380000</v>
      </c>
      <c r="E18" s="10">
        <v>30</v>
      </c>
      <c r="F18" s="9">
        <f t="shared" si="0"/>
        <v>494000</v>
      </c>
    </row>
    <row r="19" spans="1:6" ht="15" customHeight="1" x14ac:dyDescent="0.25">
      <c r="A19" s="7" t="s">
        <v>58</v>
      </c>
      <c r="B19" s="8" t="s">
        <v>59</v>
      </c>
      <c r="C19" s="7" t="s">
        <v>25</v>
      </c>
      <c r="D19" s="9">
        <v>400000</v>
      </c>
      <c r="E19" s="10">
        <v>30</v>
      </c>
      <c r="F19" s="9">
        <f t="shared" si="0"/>
        <v>520000</v>
      </c>
    </row>
    <row r="20" spans="1:6" ht="15" customHeight="1" x14ac:dyDescent="0.25">
      <c r="A20" s="7" t="s">
        <v>60</v>
      </c>
      <c r="B20" s="8" t="s">
        <v>61</v>
      </c>
      <c r="C20" s="7" t="s">
        <v>25</v>
      </c>
      <c r="D20" s="9">
        <v>500000</v>
      </c>
      <c r="E20" s="10">
        <v>30</v>
      </c>
      <c r="F20" s="9">
        <f t="shared" si="0"/>
        <v>650000</v>
      </c>
    </row>
    <row r="21" spans="1:6" ht="15" customHeight="1" x14ac:dyDescent="0.25">
      <c r="A21" s="7" t="s">
        <v>62</v>
      </c>
      <c r="B21" s="8" t="s">
        <v>63</v>
      </c>
      <c r="C21" s="7" t="s">
        <v>25</v>
      </c>
      <c r="D21" s="9">
        <v>120000</v>
      </c>
      <c r="E21" s="10">
        <v>30</v>
      </c>
      <c r="F21" s="9">
        <f t="shared" si="0"/>
        <v>156000</v>
      </c>
    </row>
    <row r="22" spans="1:6" ht="15" customHeight="1" x14ac:dyDescent="0.25">
      <c r="A22" s="7" t="s">
        <v>64</v>
      </c>
      <c r="B22" s="8" t="s">
        <v>65</v>
      </c>
      <c r="C22" s="7" t="s">
        <v>25</v>
      </c>
      <c r="D22" s="9">
        <v>90000</v>
      </c>
      <c r="E22" s="10">
        <v>30</v>
      </c>
      <c r="F22" s="9">
        <f t="shared" si="0"/>
        <v>117000</v>
      </c>
    </row>
    <row r="23" spans="1:6" ht="15" customHeight="1" x14ac:dyDescent="0.25">
      <c r="A23" s="7" t="s">
        <v>66</v>
      </c>
      <c r="B23" s="8" t="s">
        <v>67</v>
      </c>
      <c r="C23" s="7" t="s">
        <v>25</v>
      </c>
      <c r="D23" s="9">
        <v>130000</v>
      </c>
      <c r="E23" s="10">
        <v>30</v>
      </c>
      <c r="F23" s="9">
        <f t="shared" si="0"/>
        <v>169000</v>
      </c>
    </row>
    <row r="24" spans="1:6" ht="15" customHeight="1" x14ac:dyDescent="0.25">
      <c r="A24" s="7" t="s">
        <v>68</v>
      </c>
      <c r="B24" s="8" t="s">
        <v>69</v>
      </c>
      <c r="C24" s="7" t="s">
        <v>25</v>
      </c>
      <c r="D24" s="9">
        <v>110000</v>
      </c>
      <c r="E24" s="10">
        <v>30</v>
      </c>
      <c r="F24" s="9">
        <f t="shared" si="0"/>
        <v>143000</v>
      </c>
    </row>
    <row r="25" spans="1:6" ht="15" customHeight="1" x14ac:dyDescent="0.25">
      <c r="A25" s="7" t="s">
        <v>70</v>
      </c>
      <c r="B25" s="8" t="s">
        <v>71</v>
      </c>
      <c r="C25" s="7" t="s">
        <v>25</v>
      </c>
      <c r="D25" s="9">
        <v>125000</v>
      </c>
      <c r="E25" s="10">
        <v>30</v>
      </c>
      <c r="F25" s="9">
        <f t="shared" si="0"/>
        <v>162500</v>
      </c>
    </row>
    <row r="26" spans="1:6" ht="15" customHeight="1" x14ac:dyDescent="0.25">
      <c r="A26" s="7" t="s">
        <v>72</v>
      </c>
      <c r="B26" s="8" t="s">
        <v>73</v>
      </c>
      <c r="C26" s="7" t="s">
        <v>25</v>
      </c>
      <c r="D26" s="9">
        <v>200000</v>
      </c>
      <c r="E26" s="10">
        <v>30</v>
      </c>
      <c r="F26" s="9">
        <f t="shared" si="0"/>
        <v>260000</v>
      </c>
    </row>
    <row r="27" spans="1:6" ht="15" customHeight="1" x14ac:dyDescent="0.25">
      <c r="A27" s="7" t="s">
        <v>74</v>
      </c>
      <c r="B27" s="8" t="s">
        <v>75</v>
      </c>
      <c r="C27" s="7" t="s">
        <v>25</v>
      </c>
      <c r="D27" s="9">
        <v>220000</v>
      </c>
      <c r="E27" s="10">
        <v>30</v>
      </c>
      <c r="F27" s="9">
        <f t="shared" si="0"/>
        <v>286000</v>
      </c>
    </row>
    <row r="28" spans="1:6" ht="15" customHeight="1" x14ac:dyDescent="0.25">
      <c r="A28" s="7" t="s">
        <v>76</v>
      </c>
      <c r="B28" s="8" t="s">
        <v>77</v>
      </c>
      <c r="C28" s="7" t="s">
        <v>25</v>
      </c>
      <c r="D28" s="9">
        <v>280000</v>
      </c>
      <c r="E28" s="10">
        <v>30</v>
      </c>
      <c r="F28" s="9">
        <f t="shared" si="0"/>
        <v>364000</v>
      </c>
    </row>
    <row r="29" spans="1:6" ht="15" customHeight="1" x14ac:dyDescent="0.25">
      <c r="C29" s="27" t="s">
        <v>195</v>
      </c>
      <c r="D29" s="31">
        <f>SUM(D2:D28)</f>
        <v>6203438.5099999998</v>
      </c>
      <c r="E29" s="29"/>
      <c r="F29" s="30">
        <f>SUM(F2:F28)</f>
        <v>8064470.0630000001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zoomScaleNormal="100" workbookViewId="0"/>
  </sheetViews>
  <sheetFormatPr baseColWidth="10" defaultColWidth="8.7109375" defaultRowHeight="15" x14ac:dyDescent="0.25"/>
  <cols>
    <col min="1" max="1" width="14" style="1" customWidth="1"/>
    <col min="2" max="2" width="42" style="1" customWidth="1"/>
    <col min="3" max="3" width="14" style="1" customWidth="1"/>
    <col min="4" max="4" width="22" style="1" customWidth="1"/>
    <col min="5" max="5" width="14" customWidth="1"/>
    <col min="6" max="6" width="22" customWidth="1"/>
  </cols>
  <sheetData>
    <row r="1" spans="1:6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25">
      <c r="A2" s="11" t="s">
        <v>78</v>
      </c>
      <c r="B2" s="12" t="s">
        <v>79</v>
      </c>
      <c r="C2" s="11" t="s">
        <v>80</v>
      </c>
      <c r="D2" s="13">
        <v>62000</v>
      </c>
      <c r="E2" s="14">
        <v>30</v>
      </c>
      <c r="F2" s="13">
        <f t="shared" ref="F2:F14" si="0">D2*(1+E2/100)</f>
        <v>80600</v>
      </c>
    </row>
    <row r="3" spans="1:6" ht="15" customHeight="1" x14ac:dyDescent="0.25">
      <c r="A3" s="11" t="s">
        <v>81</v>
      </c>
      <c r="B3" s="12" t="s">
        <v>82</v>
      </c>
      <c r="C3" s="11" t="s">
        <v>80</v>
      </c>
      <c r="D3" s="13">
        <v>65000</v>
      </c>
      <c r="E3" s="14">
        <v>30</v>
      </c>
      <c r="F3" s="13">
        <f t="shared" si="0"/>
        <v>84500</v>
      </c>
    </row>
    <row r="4" spans="1:6" ht="15" customHeight="1" x14ac:dyDescent="0.25">
      <c r="A4" s="11" t="s">
        <v>83</v>
      </c>
      <c r="B4" s="12" t="s">
        <v>84</v>
      </c>
      <c r="C4" s="11" t="s">
        <v>80</v>
      </c>
      <c r="D4" s="13">
        <v>75000</v>
      </c>
      <c r="E4" s="14">
        <v>30</v>
      </c>
      <c r="F4" s="13">
        <f t="shared" si="0"/>
        <v>97500</v>
      </c>
    </row>
    <row r="5" spans="1:6" ht="15" customHeight="1" x14ac:dyDescent="0.25">
      <c r="A5" s="11" t="s">
        <v>85</v>
      </c>
      <c r="B5" s="12" t="s">
        <v>86</v>
      </c>
      <c r="C5" s="11" t="s">
        <v>80</v>
      </c>
      <c r="D5" s="13">
        <v>78000</v>
      </c>
      <c r="E5" s="14">
        <v>30</v>
      </c>
      <c r="F5" s="13">
        <f t="shared" si="0"/>
        <v>101400</v>
      </c>
    </row>
    <row r="6" spans="1:6" ht="15" customHeight="1" x14ac:dyDescent="0.25">
      <c r="A6" s="11" t="s">
        <v>87</v>
      </c>
      <c r="B6" s="12" t="s">
        <v>88</v>
      </c>
      <c r="C6" s="11" t="s">
        <v>80</v>
      </c>
      <c r="D6" s="13">
        <v>79000</v>
      </c>
      <c r="E6" s="14">
        <v>30</v>
      </c>
      <c r="F6" s="13">
        <f t="shared" si="0"/>
        <v>102700</v>
      </c>
    </row>
    <row r="7" spans="1:6" ht="15" customHeight="1" x14ac:dyDescent="0.25">
      <c r="A7" s="11" t="s">
        <v>89</v>
      </c>
      <c r="B7" s="12" t="s">
        <v>90</v>
      </c>
      <c r="C7" s="11" t="s">
        <v>80</v>
      </c>
      <c r="D7" s="13">
        <v>85000</v>
      </c>
      <c r="E7" s="14">
        <v>30</v>
      </c>
      <c r="F7" s="13">
        <f t="shared" si="0"/>
        <v>110500</v>
      </c>
    </row>
    <row r="8" spans="1:6" ht="15" customHeight="1" x14ac:dyDescent="0.25">
      <c r="A8" s="11" t="s">
        <v>91</v>
      </c>
      <c r="B8" s="12" t="s">
        <v>92</v>
      </c>
      <c r="C8" s="11" t="s">
        <v>80</v>
      </c>
      <c r="D8" s="13">
        <v>92911.71</v>
      </c>
      <c r="E8" s="14">
        <v>30</v>
      </c>
      <c r="F8" s="13">
        <f t="shared" si="0"/>
        <v>120785.22300000001</v>
      </c>
    </row>
    <row r="9" spans="1:6" ht="15" customHeight="1" x14ac:dyDescent="0.25">
      <c r="A9" s="11" t="s">
        <v>93</v>
      </c>
      <c r="B9" s="12" t="s">
        <v>94</v>
      </c>
      <c r="C9" s="11" t="s">
        <v>80</v>
      </c>
      <c r="D9" s="13">
        <v>99278.49</v>
      </c>
      <c r="E9" s="14">
        <v>30</v>
      </c>
      <c r="F9" s="13">
        <f t="shared" si="0"/>
        <v>129062.03700000001</v>
      </c>
    </row>
    <row r="10" spans="1:6" ht="15" customHeight="1" x14ac:dyDescent="0.25">
      <c r="A10" s="11" t="s">
        <v>95</v>
      </c>
      <c r="B10" s="12" t="s">
        <v>96</v>
      </c>
      <c r="C10" s="11" t="s">
        <v>80</v>
      </c>
      <c r="D10" s="13">
        <v>55864.83</v>
      </c>
      <c r="E10" s="14">
        <v>30</v>
      </c>
      <c r="F10" s="13">
        <f t="shared" si="0"/>
        <v>72624.27900000001</v>
      </c>
    </row>
    <row r="11" spans="1:6" ht="15" customHeight="1" x14ac:dyDescent="0.25">
      <c r="A11" s="11" t="s">
        <v>97</v>
      </c>
      <c r="B11" s="12" t="s">
        <v>98</v>
      </c>
      <c r="C11" s="11" t="s">
        <v>80</v>
      </c>
      <c r="D11" s="13">
        <v>85105.93</v>
      </c>
      <c r="E11" s="14">
        <v>30</v>
      </c>
      <c r="F11" s="13">
        <f t="shared" si="0"/>
        <v>110637.70899999999</v>
      </c>
    </row>
    <row r="12" spans="1:6" ht="15" customHeight="1" x14ac:dyDescent="0.25">
      <c r="A12" s="11" t="s">
        <v>99</v>
      </c>
      <c r="B12" s="12" t="s">
        <v>100</v>
      </c>
      <c r="C12" s="11" t="s">
        <v>80</v>
      </c>
      <c r="D12" s="13">
        <v>92769.5</v>
      </c>
      <c r="E12" s="14">
        <v>30</v>
      </c>
      <c r="F12" s="13">
        <f t="shared" si="0"/>
        <v>120600.35</v>
      </c>
    </row>
    <row r="13" spans="1:6" ht="15" customHeight="1" x14ac:dyDescent="0.25">
      <c r="A13" s="11" t="s">
        <v>101</v>
      </c>
      <c r="B13" s="12" t="s">
        <v>102</v>
      </c>
      <c r="C13" s="11" t="s">
        <v>80</v>
      </c>
      <c r="D13" s="13">
        <v>140000</v>
      </c>
      <c r="E13" s="14">
        <v>30</v>
      </c>
      <c r="F13" s="13">
        <f t="shared" si="0"/>
        <v>182000</v>
      </c>
    </row>
    <row r="14" spans="1:6" ht="15" customHeight="1" x14ac:dyDescent="0.25">
      <c r="A14" s="11" t="s">
        <v>103</v>
      </c>
      <c r="B14" s="12" t="s">
        <v>104</v>
      </c>
      <c r="C14" s="11" t="s">
        <v>80</v>
      </c>
      <c r="D14" s="13">
        <v>120000</v>
      </c>
      <c r="E14" s="14">
        <v>30</v>
      </c>
      <c r="F14" s="13">
        <f t="shared" si="0"/>
        <v>156000</v>
      </c>
    </row>
    <row r="15" spans="1:6" ht="15" customHeight="1" x14ac:dyDescent="0.25">
      <c r="C15" s="27" t="s">
        <v>195</v>
      </c>
      <c r="D15" s="31">
        <f>SUM(D2:D14)</f>
        <v>1129930.46</v>
      </c>
      <c r="E15" s="29"/>
      <c r="F15" s="30">
        <f>SUM(F2:F14)</f>
        <v>1468909.598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zoomScaleNormal="100" workbookViewId="0"/>
  </sheetViews>
  <sheetFormatPr baseColWidth="10" defaultColWidth="8.7109375" defaultRowHeight="15" x14ac:dyDescent="0.25"/>
  <cols>
    <col min="1" max="1" width="14" style="1" customWidth="1"/>
    <col min="2" max="2" width="42" style="1" customWidth="1"/>
    <col min="3" max="3" width="14" style="1" customWidth="1"/>
    <col min="4" max="4" width="22" style="1" customWidth="1"/>
    <col min="5" max="5" width="14" customWidth="1"/>
    <col min="6" max="6" width="22" customWidth="1"/>
  </cols>
  <sheetData>
    <row r="1" spans="1:6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25">
      <c r="A2" s="15" t="s">
        <v>105</v>
      </c>
      <c r="B2" s="16" t="s">
        <v>106</v>
      </c>
      <c r="C2" s="15" t="s">
        <v>107</v>
      </c>
      <c r="D2" s="17">
        <v>240000</v>
      </c>
      <c r="E2" s="18">
        <v>30</v>
      </c>
      <c r="F2" s="17">
        <f t="shared" ref="F2:F16" si="0">D2*(1+E2/100)</f>
        <v>312000</v>
      </c>
    </row>
    <row r="3" spans="1:6" ht="15" customHeight="1" x14ac:dyDescent="0.25">
      <c r="A3" s="15" t="s">
        <v>108</v>
      </c>
      <c r="B3" s="16" t="s">
        <v>109</v>
      </c>
      <c r="C3" s="15" t="s">
        <v>107</v>
      </c>
      <c r="D3" s="17">
        <v>240000</v>
      </c>
      <c r="E3" s="18">
        <v>30</v>
      </c>
      <c r="F3" s="17">
        <f t="shared" si="0"/>
        <v>312000</v>
      </c>
    </row>
    <row r="4" spans="1:6" ht="15" customHeight="1" x14ac:dyDescent="0.25">
      <c r="A4" s="15" t="s">
        <v>110</v>
      </c>
      <c r="B4" s="16" t="s">
        <v>111</v>
      </c>
      <c r="C4" s="15" t="s">
        <v>107</v>
      </c>
      <c r="D4" s="17">
        <v>250000</v>
      </c>
      <c r="E4" s="18">
        <v>30</v>
      </c>
      <c r="F4" s="17">
        <f t="shared" si="0"/>
        <v>325000</v>
      </c>
    </row>
    <row r="5" spans="1:6" ht="15" customHeight="1" x14ac:dyDescent="0.25">
      <c r="A5" s="15" t="s">
        <v>112</v>
      </c>
      <c r="B5" s="16" t="s">
        <v>113</v>
      </c>
      <c r="C5" s="15" t="s">
        <v>107</v>
      </c>
      <c r="D5" s="17">
        <v>140000</v>
      </c>
      <c r="E5" s="18">
        <v>30</v>
      </c>
      <c r="F5" s="17">
        <f t="shared" si="0"/>
        <v>182000</v>
      </c>
    </row>
    <row r="6" spans="1:6" ht="15" customHeight="1" x14ac:dyDescent="0.25">
      <c r="A6" s="15" t="s">
        <v>114</v>
      </c>
      <c r="B6" s="16" t="s">
        <v>115</v>
      </c>
      <c r="C6" s="15" t="s">
        <v>107</v>
      </c>
      <c r="D6" s="17">
        <v>180000</v>
      </c>
      <c r="E6" s="18">
        <v>30</v>
      </c>
      <c r="F6" s="17">
        <f t="shared" si="0"/>
        <v>234000</v>
      </c>
    </row>
    <row r="7" spans="1:6" ht="15" customHeight="1" x14ac:dyDescent="0.25">
      <c r="A7" s="15" t="s">
        <v>116</v>
      </c>
      <c r="B7" s="16" t="s">
        <v>117</v>
      </c>
      <c r="C7" s="15" t="s">
        <v>107</v>
      </c>
      <c r="D7" s="17">
        <v>170000</v>
      </c>
      <c r="E7" s="18">
        <v>30</v>
      </c>
      <c r="F7" s="17">
        <f t="shared" si="0"/>
        <v>221000</v>
      </c>
    </row>
    <row r="8" spans="1:6" ht="15" customHeight="1" x14ac:dyDescent="0.25">
      <c r="A8" s="15" t="s">
        <v>118</v>
      </c>
      <c r="B8" s="16" t="s">
        <v>119</v>
      </c>
      <c r="C8" s="15" t="s">
        <v>107</v>
      </c>
      <c r="D8" s="17">
        <v>180000</v>
      </c>
      <c r="E8" s="18">
        <v>30</v>
      </c>
      <c r="F8" s="17">
        <f t="shared" si="0"/>
        <v>234000</v>
      </c>
    </row>
    <row r="9" spans="1:6" ht="15" customHeight="1" x14ac:dyDescent="0.25">
      <c r="A9" s="15" t="s">
        <v>120</v>
      </c>
      <c r="B9" s="16" t="s">
        <v>121</v>
      </c>
      <c r="C9" s="15" t="s">
        <v>107</v>
      </c>
      <c r="D9" s="17">
        <v>240000</v>
      </c>
      <c r="E9" s="18">
        <v>30</v>
      </c>
      <c r="F9" s="17">
        <f t="shared" si="0"/>
        <v>312000</v>
      </c>
    </row>
    <row r="10" spans="1:6" ht="15" customHeight="1" x14ac:dyDescent="0.25">
      <c r="A10" s="15" t="s">
        <v>122</v>
      </c>
      <c r="B10" s="16" t="s">
        <v>123</v>
      </c>
      <c r="C10" s="15" t="s">
        <v>107</v>
      </c>
      <c r="D10" s="17">
        <v>140000</v>
      </c>
      <c r="E10" s="18">
        <v>30</v>
      </c>
      <c r="F10" s="17">
        <f t="shared" si="0"/>
        <v>182000</v>
      </c>
    </row>
    <row r="11" spans="1:6" ht="15" customHeight="1" x14ac:dyDescent="0.25">
      <c r="A11" s="15" t="s">
        <v>124</v>
      </c>
      <c r="B11" s="16" t="s">
        <v>125</v>
      </c>
      <c r="C11" s="15" t="s">
        <v>107</v>
      </c>
      <c r="D11" s="17">
        <v>260000</v>
      </c>
      <c r="E11" s="18">
        <v>30</v>
      </c>
      <c r="F11" s="17">
        <f t="shared" si="0"/>
        <v>338000</v>
      </c>
    </row>
    <row r="12" spans="1:6" ht="15" customHeight="1" x14ac:dyDescent="0.25">
      <c r="A12" s="15" t="s">
        <v>126</v>
      </c>
      <c r="B12" s="16" t="s">
        <v>127</v>
      </c>
      <c r="C12" s="15" t="s">
        <v>107</v>
      </c>
      <c r="D12" s="17">
        <v>260000</v>
      </c>
      <c r="E12" s="18">
        <v>30</v>
      </c>
      <c r="F12" s="17">
        <f t="shared" si="0"/>
        <v>338000</v>
      </c>
    </row>
    <row r="13" spans="1:6" ht="15" customHeight="1" x14ac:dyDescent="0.25">
      <c r="A13" s="15" t="s">
        <v>128</v>
      </c>
      <c r="B13" s="16" t="s">
        <v>129</v>
      </c>
      <c r="C13" s="15" t="s">
        <v>107</v>
      </c>
      <c r="D13" s="17">
        <v>280000</v>
      </c>
      <c r="E13" s="18">
        <v>30</v>
      </c>
      <c r="F13" s="17">
        <f t="shared" si="0"/>
        <v>364000</v>
      </c>
    </row>
    <row r="14" spans="1:6" ht="15" customHeight="1" x14ac:dyDescent="0.25">
      <c r="A14" s="15" t="s">
        <v>130</v>
      </c>
      <c r="B14" s="16" t="s">
        <v>131</v>
      </c>
      <c r="C14" s="15" t="s">
        <v>107</v>
      </c>
      <c r="D14" s="17">
        <v>147850.81</v>
      </c>
      <c r="E14" s="18">
        <v>30</v>
      </c>
      <c r="F14" s="17">
        <f t="shared" si="0"/>
        <v>192206.05300000001</v>
      </c>
    </row>
    <row r="15" spans="1:6" ht="15" customHeight="1" x14ac:dyDescent="0.25">
      <c r="A15" s="15" t="s">
        <v>132</v>
      </c>
      <c r="B15" s="16" t="s">
        <v>133</v>
      </c>
      <c r="C15" s="15" t="s">
        <v>107</v>
      </c>
      <c r="D15" s="17">
        <v>280000</v>
      </c>
      <c r="E15" s="18">
        <v>30</v>
      </c>
      <c r="F15" s="17">
        <f t="shared" si="0"/>
        <v>364000</v>
      </c>
    </row>
    <row r="16" spans="1:6" ht="15" customHeight="1" x14ac:dyDescent="0.25">
      <c r="A16" s="15" t="s">
        <v>134</v>
      </c>
      <c r="B16" s="16" t="s">
        <v>135</v>
      </c>
      <c r="C16" s="15" t="s">
        <v>107</v>
      </c>
      <c r="D16" s="17">
        <v>140017.38</v>
      </c>
      <c r="E16" s="18">
        <v>30</v>
      </c>
      <c r="F16" s="17">
        <f t="shared" si="0"/>
        <v>182022.59400000001</v>
      </c>
    </row>
    <row r="17" spans="3:6" ht="15" customHeight="1" x14ac:dyDescent="0.25">
      <c r="C17" s="27" t="s">
        <v>195</v>
      </c>
      <c r="D17" s="31">
        <f>SUM(D2:D16)</f>
        <v>3147868.19</v>
      </c>
      <c r="E17" s="29"/>
      <c r="F17" s="30">
        <f>SUM(F2:F16)</f>
        <v>4092228.6469999999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zoomScaleNormal="100" workbookViewId="0"/>
  </sheetViews>
  <sheetFormatPr baseColWidth="10" defaultColWidth="8.7109375" defaultRowHeight="15" x14ac:dyDescent="0.25"/>
  <cols>
    <col min="1" max="1" width="14" style="1" customWidth="1"/>
    <col min="2" max="2" width="42" style="1" customWidth="1"/>
    <col min="3" max="3" width="14" style="1" customWidth="1"/>
    <col min="4" max="4" width="22" style="1" customWidth="1"/>
    <col min="5" max="5" width="14" customWidth="1"/>
    <col min="6" max="6" width="22" customWidth="1"/>
  </cols>
  <sheetData>
    <row r="1" spans="1:6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25">
      <c r="A2" s="19" t="s">
        <v>136</v>
      </c>
      <c r="B2" s="20" t="s">
        <v>137</v>
      </c>
      <c r="C2" s="19" t="s">
        <v>138</v>
      </c>
      <c r="D2" s="21">
        <v>55000</v>
      </c>
      <c r="E2" s="22">
        <v>30</v>
      </c>
      <c r="F2" s="21">
        <f t="shared" ref="F2:F25" si="0">D2*(1+E2/100)</f>
        <v>71500</v>
      </c>
    </row>
    <row r="3" spans="1:6" ht="15" customHeight="1" x14ac:dyDescent="0.25">
      <c r="A3" s="19" t="s">
        <v>139</v>
      </c>
      <c r="B3" s="20" t="s">
        <v>140</v>
      </c>
      <c r="C3" s="19" t="s">
        <v>138</v>
      </c>
      <c r="D3" s="21">
        <v>59000</v>
      </c>
      <c r="E3" s="22">
        <v>30</v>
      </c>
      <c r="F3" s="21">
        <f t="shared" si="0"/>
        <v>76700</v>
      </c>
    </row>
    <row r="4" spans="1:6" ht="15" customHeight="1" x14ac:dyDescent="0.25">
      <c r="A4" s="19" t="s">
        <v>141</v>
      </c>
      <c r="B4" s="20" t="s">
        <v>142</v>
      </c>
      <c r="C4" s="19" t="s">
        <v>138</v>
      </c>
      <c r="D4" s="21">
        <v>64000</v>
      </c>
      <c r="E4" s="22">
        <v>30</v>
      </c>
      <c r="F4" s="21">
        <f t="shared" si="0"/>
        <v>83200</v>
      </c>
    </row>
    <row r="5" spans="1:6" ht="15" customHeight="1" x14ac:dyDescent="0.25">
      <c r="A5" s="19" t="s">
        <v>143</v>
      </c>
      <c r="B5" s="20" t="s">
        <v>144</v>
      </c>
      <c r="C5" s="19" t="s">
        <v>138</v>
      </c>
      <c r="D5" s="21">
        <v>69000</v>
      </c>
      <c r="E5" s="22">
        <v>30</v>
      </c>
      <c r="F5" s="21">
        <f t="shared" si="0"/>
        <v>89700</v>
      </c>
    </row>
    <row r="6" spans="1:6" ht="15" customHeight="1" x14ac:dyDescent="0.25">
      <c r="A6" s="19" t="s">
        <v>145</v>
      </c>
      <c r="B6" s="20" t="s">
        <v>146</v>
      </c>
      <c r="C6" s="19" t="s">
        <v>138</v>
      </c>
      <c r="D6" s="21">
        <v>70000</v>
      </c>
      <c r="E6" s="22">
        <v>30</v>
      </c>
      <c r="F6" s="21">
        <f t="shared" si="0"/>
        <v>91000</v>
      </c>
    </row>
    <row r="7" spans="1:6" ht="15" customHeight="1" x14ac:dyDescent="0.25">
      <c r="A7" s="19" t="s">
        <v>147</v>
      </c>
      <c r="B7" s="20" t="s">
        <v>148</v>
      </c>
      <c r="C7" s="19" t="s">
        <v>138</v>
      </c>
      <c r="D7" s="21">
        <v>70000</v>
      </c>
      <c r="E7" s="22">
        <v>30</v>
      </c>
      <c r="F7" s="21">
        <f t="shared" si="0"/>
        <v>91000</v>
      </c>
    </row>
    <row r="8" spans="1:6" ht="15" customHeight="1" x14ac:dyDescent="0.25">
      <c r="A8" s="19" t="s">
        <v>149</v>
      </c>
      <c r="B8" s="20" t="s">
        <v>150</v>
      </c>
      <c r="C8" s="19" t="s">
        <v>138</v>
      </c>
      <c r="D8" s="21">
        <v>90000</v>
      </c>
      <c r="E8" s="22">
        <v>30</v>
      </c>
      <c r="F8" s="21">
        <f t="shared" si="0"/>
        <v>117000</v>
      </c>
    </row>
    <row r="9" spans="1:6" ht="15" customHeight="1" x14ac:dyDescent="0.25">
      <c r="A9" s="19" t="s">
        <v>151</v>
      </c>
      <c r="B9" s="20" t="s">
        <v>152</v>
      </c>
      <c r="C9" s="19" t="s">
        <v>138</v>
      </c>
      <c r="D9" s="21">
        <v>82000</v>
      </c>
      <c r="E9" s="22">
        <v>30</v>
      </c>
      <c r="F9" s="21">
        <f t="shared" si="0"/>
        <v>106600</v>
      </c>
    </row>
    <row r="10" spans="1:6" ht="15" customHeight="1" x14ac:dyDescent="0.25">
      <c r="A10" s="19" t="s">
        <v>153</v>
      </c>
      <c r="B10" s="20" t="s">
        <v>154</v>
      </c>
      <c r="C10" s="19" t="s">
        <v>138</v>
      </c>
      <c r="D10" s="21">
        <v>86000</v>
      </c>
      <c r="E10" s="22">
        <v>30</v>
      </c>
      <c r="F10" s="21">
        <f t="shared" si="0"/>
        <v>111800</v>
      </c>
    </row>
    <row r="11" spans="1:6" ht="15" customHeight="1" x14ac:dyDescent="0.25">
      <c r="A11" s="19" t="s">
        <v>155</v>
      </c>
      <c r="B11" s="20" t="s">
        <v>156</v>
      </c>
      <c r="C11" s="19" t="s">
        <v>138</v>
      </c>
      <c r="D11" s="21">
        <v>105000</v>
      </c>
      <c r="E11" s="22">
        <v>30</v>
      </c>
      <c r="F11" s="21">
        <f t="shared" si="0"/>
        <v>136500</v>
      </c>
    </row>
    <row r="12" spans="1:6" ht="15" customHeight="1" x14ac:dyDescent="0.25">
      <c r="A12" s="19" t="s">
        <v>157</v>
      </c>
      <c r="B12" s="20" t="s">
        <v>158</v>
      </c>
      <c r="C12" s="19" t="s">
        <v>138</v>
      </c>
      <c r="D12" s="21">
        <v>115413.96</v>
      </c>
      <c r="E12" s="22">
        <v>30</v>
      </c>
      <c r="F12" s="21">
        <f t="shared" si="0"/>
        <v>150038.14800000002</v>
      </c>
    </row>
    <row r="13" spans="1:6" ht="15" customHeight="1" x14ac:dyDescent="0.25">
      <c r="A13" s="19" t="s">
        <v>159</v>
      </c>
      <c r="B13" s="20" t="s">
        <v>160</v>
      </c>
      <c r="C13" s="19" t="s">
        <v>138</v>
      </c>
      <c r="D13" s="21">
        <v>141520.48000000001</v>
      </c>
      <c r="E13" s="22">
        <v>30</v>
      </c>
      <c r="F13" s="21">
        <f t="shared" si="0"/>
        <v>183976.62400000001</v>
      </c>
    </row>
    <row r="14" spans="1:6" ht="15" customHeight="1" x14ac:dyDescent="0.25">
      <c r="A14" s="19" t="s">
        <v>161</v>
      </c>
      <c r="B14" s="20" t="s">
        <v>162</v>
      </c>
      <c r="C14" s="19" t="s">
        <v>138</v>
      </c>
      <c r="D14" s="21">
        <v>157068.73000000001</v>
      </c>
      <c r="E14" s="22">
        <v>30</v>
      </c>
      <c r="F14" s="21">
        <f t="shared" si="0"/>
        <v>204189.34900000002</v>
      </c>
    </row>
    <row r="15" spans="1:6" ht="15" customHeight="1" x14ac:dyDescent="0.25">
      <c r="A15" s="19" t="s">
        <v>163</v>
      </c>
      <c r="B15" s="20" t="s">
        <v>164</v>
      </c>
      <c r="C15" s="19" t="s">
        <v>138</v>
      </c>
      <c r="D15" s="21">
        <v>184876.3</v>
      </c>
      <c r="E15" s="22">
        <v>30</v>
      </c>
      <c r="F15" s="21">
        <f t="shared" si="0"/>
        <v>240339.19</v>
      </c>
    </row>
    <row r="16" spans="1:6" ht="15" customHeight="1" x14ac:dyDescent="0.25">
      <c r="A16" s="19" t="s">
        <v>165</v>
      </c>
      <c r="B16" s="20" t="s">
        <v>166</v>
      </c>
      <c r="C16" s="19" t="s">
        <v>138</v>
      </c>
      <c r="D16" s="21">
        <v>180000</v>
      </c>
      <c r="E16" s="22">
        <v>30</v>
      </c>
      <c r="F16" s="21">
        <f t="shared" si="0"/>
        <v>234000</v>
      </c>
    </row>
    <row r="17" spans="1:6" ht="15" customHeight="1" x14ac:dyDescent="0.25">
      <c r="A17" s="19" t="s">
        <v>167</v>
      </c>
      <c r="B17" s="20" t="s">
        <v>168</v>
      </c>
      <c r="C17" s="19" t="s">
        <v>138</v>
      </c>
      <c r="D17" s="21">
        <v>200000</v>
      </c>
      <c r="E17" s="22">
        <v>30</v>
      </c>
      <c r="F17" s="21">
        <f t="shared" si="0"/>
        <v>260000</v>
      </c>
    </row>
    <row r="18" spans="1:6" ht="15" customHeight="1" x14ac:dyDescent="0.25">
      <c r="A18" s="19" t="s">
        <v>169</v>
      </c>
      <c r="B18" s="20" t="s">
        <v>170</v>
      </c>
      <c r="C18" s="19" t="s">
        <v>138</v>
      </c>
      <c r="D18" s="21">
        <v>200000</v>
      </c>
      <c r="E18" s="22">
        <v>30</v>
      </c>
      <c r="F18" s="21">
        <f t="shared" si="0"/>
        <v>260000</v>
      </c>
    </row>
    <row r="19" spans="1:6" ht="15" customHeight="1" x14ac:dyDescent="0.25">
      <c r="A19" s="19" t="s">
        <v>171</v>
      </c>
      <c r="B19" s="20" t="s">
        <v>172</v>
      </c>
      <c r="C19" s="19" t="s">
        <v>138</v>
      </c>
      <c r="D19" s="21">
        <v>180000</v>
      </c>
      <c r="E19" s="22">
        <v>30</v>
      </c>
      <c r="F19" s="21">
        <f t="shared" si="0"/>
        <v>234000</v>
      </c>
    </row>
    <row r="20" spans="1:6" ht="15" customHeight="1" x14ac:dyDescent="0.25">
      <c r="A20" s="19" t="s">
        <v>173</v>
      </c>
      <c r="B20" s="20" t="s">
        <v>174</v>
      </c>
      <c r="C20" s="19" t="s">
        <v>138</v>
      </c>
      <c r="D20" s="21">
        <v>250000</v>
      </c>
      <c r="E20" s="22">
        <v>30</v>
      </c>
      <c r="F20" s="21">
        <f t="shared" si="0"/>
        <v>325000</v>
      </c>
    </row>
    <row r="21" spans="1:6" ht="15" customHeight="1" x14ac:dyDescent="0.25">
      <c r="A21" s="19" t="s">
        <v>175</v>
      </c>
      <c r="B21" s="20" t="s">
        <v>176</v>
      </c>
      <c r="C21" s="19" t="s">
        <v>138</v>
      </c>
      <c r="D21" s="21">
        <v>110000</v>
      </c>
      <c r="E21" s="22">
        <v>30</v>
      </c>
      <c r="F21" s="21">
        <f t="shared" si="0"/>
        <v>143000</v>
      </c>
    </row>
    <row r="22" spans="1:6" ht="15" customHeight="1" x14ac:dyDescent="0.25">
      <c r="A22" s="19" t="s">
        <v>177</v>
      </c>
      <c r="B22" s="20" t="s">
        <v>178</v>
      </c>
      <c r="C22" s="19" t="s">
        <v>138</v>
      </c>
      <c r="D22" s="21">
        <v>100000</v>
      </c>
      <c r="E22" s="22">
        <v>30</v>
      </c>
      <c r="F22" s="21">
        <f t="shared" si="0"/>
        <v>130000</v>
      </c>
    </row>
    <row r="23" spans="1:6" ht="15" customHeight="1" x14ac:dyDescent="0.25">
      <c r="A23" s="19" t="s">
        <v>179</v>
      </c>
      <c r="B23" s="20" t="s">
        <v>180</v>
      </c>
      <c r="C23" s="19" t="s">
        <v>138</v>
      </c>
      <c r="D23" s="21">
        <v>130000</v>
      </c>
      <c r="E23" s="22">
        <v>30</v>
      </c>
      <c r="F23" s="21">
        <f t="shared" si="0"/>
        <v>169000</v>
      </c>
    </row>
    <row r="24" spans="1:6" ht="15" customHeight="1" x14ac:dyDescent="0.25">
      <c r="A24" s="19" t="s">
        <v>181</v>
      </c>
      <c r="B24" s="20" t="s">
        <v>182</v>
      </c>
      <c r="C24" s="19" t="s">
        <v>138</v>
      </c>
      <c r="D24" s="21">
        <v>155000</v>
      </c>
      <c r="E24" s="22">
        <v>30</v>
      </c>
      <c r="F24" s="21">
        <f t="shared" si="0"/>
        <v>201500</v>
      </c>
    </row>
    <row r="25" spans="1:6" ht="15" customHeight="1" x14ac:dyDescent="0.25">
      <c r="A25" s="19" t="s">
        <v>183</v>
      </c>
      <c r="B25" s="20" t="s">
        <v>184</v>
      </c>
      <c r="C25" s="19" t="s">
        <v>138</v>
      </c>
      <c r="D25" s="21">
        <v>140000</v>
      </c>
      <c r="E25" s="22">
        <v>30</v>
      </c>
      <c r="F25" s="21">
        <f t="shared" si="0"/>
        <v>182000</v>
      </c>
    </row>
    <row r="26" spans="1:6" ht="15" customHeight="1" x14ac:dyDescent="0.25">
      <c r="C26" s="27" t="s">
        <v>195</v>
      </c>
      <c r="D26" s="31">
        <f>SUM(D2:D25)</f>
        <v>2993879.4699999997</v>
      </c>
      <c r="E26" s="29"/>
      <c r="F26" s="30">
        <f>SUM(F2:F25)</f>
        <v>3892043.3109999998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zoomScaleNormal="100" workbookViewId="0"/>
  </sheetViews>
  <sheetFormatPr baseColWidth="10" defaultColWidth="8.7109375" defaultRowHeight="15" x14ac:dyDescent="0.25"/>
  <cols>
    <col min="1" max="1" width="14" style="1" customWidth="1"/>
    <col min="2" max="2" width="42" style="1" customWidth="1"/>
    <col min="3" max="3" width="14" style="1" customWidth="1"/>
    <col min="4" max="4" width="22" style="1" customWidth="1"/>
    <col min="5" max="5" width="14" customWidth="1"/>
    <col min="6" max="6" width="22" customWidth="1"/>
  </cols>
  <sheetData>
    <row r="1" spans="1:6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25">
      <c r="A2" s="23" t="s">
        <v>185</v>
      </c>
      <c r="B2" s="24" t="s">
        <v>186</v>
      </c>
      <c r="C2" s="23" t="s">
        <v>187</v>
      </c>
      <c r="D2" s="25">
        <v>135000</v>
      </c>
      <c r="E2" s="26">
        <v>30</v>
      </c>
      <c r="F2" s="25">
        <f>D2*(1+E2/100)</f>
        <v>175500</v>
      </c>
    </row>
    <row r="3" spans="1:6" ht="15" customHeight="1" x14ac:dyDescent="0.25">
      <c r="A3" s="23" t="s">
        <v>188</v>
      </c>
      <c r="B3" s="24" t="s">
        <v>189</v>
      </c>
      <c r="C3" s="23" t="s">
        <v>187</v>
      </c>
      <c r="D3" s="25">
        <v>160000</v>
      </c>
      <c r="E3" s="26">
        <v>30</v>
      </c>
      <c r="F3" s="25">
        <f>D3*(1+E3/100)</f>
        <v>208000</v>
      </c>
    </row>
    <row r="4" spans="1:6" ht="15" customHeight="1" x14ac:dyDescent="0.25">
      <c r="A4" s="23" t="s">
        <v>190</v>
      </c>
      <c r="B4" s="24" t="s">
        <v>191</v>
      </c>
      <c r="C4" s="23" t="s">
        <v>187</v>
      </c>
      <c r="D4" s="25">
        <v>160000</v>
      </c>
      <c r="E4" s="26">
        <v>30</v>
      </c>
      <c r="F4" s="25">
        <f>D4*(1+E4/100)</f>
        <v>208000</v>
      </c>
    </row>
    <row r="5" spans="1:6" ht="15" customHeight="1" x14ac:dyDescent="0.25">
      <c r="A5" s="23" t="s">
        <v>192</v>
      </c>
      <c r="B5" s="24" t="s">
        <v>193</v>
      </c>
      <c r="C5" s="23" t="s">
        <v>187</v>
      </c>
      <c r="D5" s="25">
        <v>160000</v>
      </c>
      <c r="E5" s="26">
        <v>30</v>
      </c>
      <c r="F5" s="25">
        <f>D5*(1+E5/100)</f>
        <v>208000</v>
      </c>
    </row>
    <row r="6" spans="1:6" ht="15" customHeight="1" x14ac:dyDescent="0.25">
      <c r="C6" s="27" t="s">
        <v>195</v>
      </c>
      <c r="D6" s="31">
        <f>SUM(D2:D5)</f>
        <v>615000</v>
      </c>
      <c r="E6" s="29"/>
      <c r="F6" s="30">
        <f>SUM(F2:F5)</f>
        <v>799500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Todos los productos</vt:lpstr>
      <vt:lpstr>SUNNY</vt:lpstr>
      <vt:lpstr>GT RADIAL</vt:lpstr>
      <vt:lpstr>CHAMPIRO-FE</vt:lpstr>
      <vt:lpstr>GITI</vt:lpstr>
      <vt:lpstr>WANLI</vt:lpstr>
      <vt:lpstr>MAXMILER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sergio giorda</cp:lastModifiedBy>
  <cp:revision>0</cp:revision>
  <dcterms:created xsi:type="dcterms:W3CDTF">2026-04-09T19:27:01Z</dcterms:created>
  <dcterms:modified xsi:type="dcterms:W3CDTF">2026-04-09T19:37:58Z</dcterms:modified>
  <dc:language>en-US</dc:language>
</cp:coreProperties>
</file>